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I_FRIBRA\descargas\"/>
    </mc:Choice>
  </mc:AlternateContent>
  <xr:revisionPtr revIDLastSave="0" documentId="13_ncr:1_{2C1D4B20-51CD-4F05-9E4A-4C744DC79401}" xr6:coauthVersionLast="47" xr6:coauthVersionMax="47" xr10:uidLastSave="{00000000-0000-0000-0000-000000000000}"/>
  <bookViews>
    <workbookView xWindow="-120" yWindow="-120" windowWidth="29040" windowHeight="15720" xr2:uid="{5F3922F9-A186-431C-81A5-31DB4FA8D1CE}"/>
  </bookViews>
  <sheets>
    <sheet name="DKL" sheetId="1" r:id="rId1"/>
  </sheets>
  <definedNames>
    <definedName name="_xlnm._FilterDatabase" localSheetId="0" hidden="1">DKL!$A$2:$Y$234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32" i="1" l="1"/>
  <c r="X232" i="1" s="1"/>
  <c r="V233" i="1"/>
  <c r="W233" i="1" s="1"/>
  <c r="V230" i="1"/>
  <c r="V226" i="1"/>
  <c r="V225" i="1"/>
  <c r="W225" i="1" s="1"/>
  <c r="V224" i="1"/>
  <c r="V198" i="1"/>
  <c r="W198" i="1" s="1"/>
  <c r="V197" i="1"/>
  <c r="P234" i="1"/>
  <c r="K226" i="1"/>
  <c r="K225" i="1"/>
  <c r="K224" i="1"/>
  <c r="K173" i="1"/>
  <c r="K223" i="1"/>
  <c r="K222" i="1"/>
  <c r="K221" i="1"/>
  <c r="K228" i="1"/>
  <c r="K227" i="1"/>
  <c r="K219" i="1"/>
  <c r="K233" i="1"/>
  <c r="K232" i="1"/>
  <c r="K230" i="1"/>
  <c r="K229" i="1"/>
  <c r="K198" i="1"/>
  <c r="K197" i="1"/>
  <c r="K180" i="1"/>
  <c r="K216" i="1"/>
  <c r="K205" i="1"/>
  <c r="K203" i="1"/>
  <c r="K186" i="1"/>
  <c r="K185" i="1"/>
  <c r="K208" i="1"/>
  <c r="K199" i="1"/>
  <c r="K191" i="1"/>
  <c r="K231" i="1"/>
  <c r="K220" i="1"/>
  <c r="K193" i="1"/>
  <c r="K184" i="1"/>
  <c r="K183" i="1"/>
  <c r="K206" i="1"/>
  <c r="K218" i="1"/>
  <c r="K207" i="1"/>
  <c r="K196" i="1"/>
  <c r="K172" i="1"/>
  <c r="K215" i="1"/>
  <c r="K214" i="1"/>
  <c r="K213" i="1"/>
  <c r="K212" i="1"/>
  <c r="K211" i="1"/>
  <c r="K192" i="1"/>
  <c r="K177" i="1"/>
  <c r="K176" i="1"/>
  <c r="K126" i="1"/>
  <c r="K210" i="1"/>
  <c r="K209" i="1"/>
  <c r="K217" i="1"/>
  <c r="K202" i="1"/>
  <c r="K201" i="1"/>
  <c r="K182" i="1"/>
  <c r="K175" i="1"/>
  <c r="K168" i="1"/>
  <c r="K194" i="1"/>
  <c r="K189" i="1"/>
  <c r="K200" i="1"/>
  <c r="K188" i="1"/>
  <c r="K164" i="1"/>
  <c r="K204" i="1"/>
  <c r="K187" i="1"/>
  <c r="K178" i="1"/>
  <c r="K171" i="1"/>
  <c r="K195" i="1"/>
  <c r="K190" i="1"/>
  <c r="K170" i="1"/>
  <c r="K163" i="1"/>
  <c r="K141" i="1"/>
  <c r="K115" i="1"/>
  <c r="K181" i="1"/>
  <c r="K174" i="1"/>
  <c r="K166" i="1"/>
  <c r="K156" i="1"/>
  <c r="K169" i="1"/>
  <c r="K179" i="1"/>
  <c r="R165" i="1"/>
  <c r="K165" i="1"/>
  <c r="R155" i="1"/>
  <c r="K155" i="1"/>
  <c r="R116" i="1"/>
  <c r="K116" i="1"/>
  <c r="R162" i="1"/>
  <c r="K162" i="1"/>
  <c r="R161" i="1"/>
  <c r="K161" i="1"/>
  <c r="R160" i="1"/>
  <c r="K160" i="1"/>
  <c r="R167" i="1"/>
  <c r="K167" i="1"/>
  <c r="R159" i="1"/>
  <c r="K159" i="1"/>
  <c r="R158" i="1"/>
  <c r="K158" i="1"/>
  <c r="R157" i="1"/>
  <c r="K157" i="1"/>
  <c r="R154" i="1"/>
  <c r="K154" i="1"/>
  <c r="R152" i="1"/>
  <c r="K152" i="1"/>
  <c r="R118" i="1"/>
  <c r="K118" i="1"/>
  <c r="R145" i="1"/>
  <c r="K145" i="1"/>
  <c r="R136" i="1"/>
  <c r="K136" i="1"/>
  <c r="R150" i="1"/>
  <c r="K150" i="1"/>
  <c r="R144" i="1"/>
  <c r="K144" i="1"/>
  <c r="R138" i="1"/>
  <c r="K138" i="1"/>
  <c r="R135" i="1"/>
  <c r="K135" i="1"/>
  <c r="R134" i="1"/>
  <c r="K134" i="1"/>
  <c r="R125" i="1"/>
  <c r="K125" i="1"/>
  <c r="R153" i="1"/>
  <c r="K153" i="1"/>
  <c r="R147" i="1"/>
  <c r="K147" i="1"/>
  <c r="R143" i="1"/>
  <c r="K143" i="1"/>
  <c r="R131" i="1"/>
  <c r="K131" i="1"/>
  <c r="R123" i="1"/>
  <c r="K123" i="1"/>
  <c r="R146" i="1"/>
  <c r="K146" i="1"/>
  <c r="R130" i="1"/>
  <c r="K130" i="1"/>
  <c r="R121" i="1"/>
  <c r="K121" i="1"/>
  <c r="R151" i="1"/>
  <c r="K151" i="1"/>
  <c r="R149" i="1"/>
  <c r="K149" i="1"/>
  <c r="R148" i="1"/>
  <c r="K148" i="1"/>
  <c r="R137" i="1"/>
  <c r="K137" i="1"/>
  <c r="R128" i="1"/>
  <c r="K128" i="1"/>
  <c r="R140" i="1"/>
  <c r="K140" i="1"/>
  <c r="R139" i="1"/>
  <c r="K139" i="1"/>
  <c r="R127" i="1"/>
  <c r="K127" i="1"/>
  <c r="R129" i="1"/>
  <c r="K129" i="1"/>
  <c r="R117" i="1"/>
  <c r="K117" i="1"/>
  <c r="R120" i="1"/>
  <c r="K120" i="1"/>
  <c r="R119" i="1"/>
  <c r="K119" i="1"/>
  <c r="R122" i="1"/>
  <c r="K122" i="1"/>
  <c r="R133" i="1"/>
  <c r="K133" i="1"/>
  <c r="R132" i="1"/>
  <c r="K132" i="1"/>
  <c r="R124" i="1"/>
  <c r="K124" i="1"/>
  <c r="R142" i="1"/>
  <c r="K142" i="1"/>
  <c r="R110" i="1"/>
  <c r="K110" i="1"/>
  <c r="R109" i="1"/>
  <c r="K109" i="1"/>
  <c r="R101" i="1"/>
  <c r="K101" i="1"/>
  <c r="R100" i="1"/>
  <c r="K100" i="1"/>
  <c r="R94" i="1"/>
  <c r="K94" i="1"/>
  <c r="R99" i="1"/>
  <c r="K99" i="1"/>
  <c r="R113" i="1"/>
  <c r="K113" i="1"/>
  <c r="R106" i="1"/>
  <c r="K106" i="1"/>
  <c r="R75" i="1"/>
  <c r="K75" i="1"/>
  <c r="R114" i="1"/>
  <c r="K114" i="1"/>
  <c r="R107" i="1"/>
  <c r="K107" i="1"/>
  <c r="R112" i="1"/>
  <c r="K112" i="1"/>
  <c r="R105" i="1"/>
  <c r="K105" i="1"/>
  <c r="R98" i="1"/>
  <c r="K98" i="1"/>
  <c r="R111" i="1"/>
  <c r="K111" i="1"/>
  <c r="R104" i="1"/>
  <c r="K104" i="1"/>
  <c r="R103" i="1"/>
  <c r="K103" i="1"/>
  <c r="R82" i="1"/>
  <c r="K82" i="1"/>
  <c r="R108" i="1"/>
  <c r="K108" i="1"/>
  <c r="R3" i="1"/>
  <c r="K3" i="1"/>
  <c r="R92" i="1"/>
  <c r="K92" i="1"/>
  <c r="R87" i="1"/>
  <c r="K87" i="1"/>
  <c r="R78" i="1"/>
  <c r="K78" i="1"/>
  <c r="R77" i="1"/>
  <c r="K77" i="1"/>
  <c r="R76" i="1"/>
  <c r="K76" i="1"/>
  <c r="R54" i="1"/>
  <c r="K54" i="1"/>
  <c r="R91" i="1"/>
  <c r="K91" i="1"/>
  <c r="R86" i="1"/>
  <c r="K86" i="1"/>
  <c r="R85" i="1"/>
  <c r="K85" i="1"/>
  <c r="R102" i="1"/>
  <c r="K102" i="1"/>
  <c r="R95" i="1"/>
  <c r="K95" i="1"/>
  <c r="R97" i="1"/>
  <c r="K97" i="1"/>
  <c r="R90" i="1"/>
  <c r="K90" i="1"/>
  <c r="R89" i="1"/>
  <c r="K89" i="1"/>
  <c r="R88" i="1"/>
  <c r="K88" i="1"/>
  <c r="R84" i="1"/>
  <c r="K84" i="1"/>
  <c r="R83" i="1"/>
  <c r="K83" i="1"/>
  <c r="R74" i="1"/>
  <c r="K74" i="1"/>
  <c r="R73" i="1"/>
  <c r="K73" i="1"/>
  <c r="R96" i="1"/>
  <c r="K96" i="1"/>
  <c r="R93" i="1"/>
  <c r="K93" i="1"/>
  <c r="R69" i="1"/>
  <c r="K69" i="1"/>
  <c r="R68" i="1"/>
  <c r="K68" i="1"/>
  <c r="R79" i="1"/>
  <c r="K79" i="1"/>
  <c r="R81" i="1"/>
  <c r="K81" i="1"/>
  <c r="R55" i="1"/>
  <c r="K55" i="1"/>
  <c r="R34" i="1"/>
  <c r="K34" i="1"/>
  <c r="R80" i="1"/>
  <c r="K80" i="1"/>
  <c r="R66" i="1"/>
  <c r="K66" i="1"/>
  <c r="R56" i="1"/>
  <c r="K56" i="1"/>
  <c r="R48" i="1"/>
  <c r="K48" i="1"/>
  <c r="R47" i="1"/>
  <c r="K47" i="1"/>
  <c r="R40" i="1"/>
  <c r="K40" i="1"/>
  <c r="R25" i="1"/>
  <c r="K25" i="1"/>
  <c r="R6" i="1"/>
  <c r="K6" i="1"/>
  <c r="R64" i="1"/>
  <c r="K64" i="1"/>
  <c r="R63" i="1"/>
  <c r="K63" i="1"/>
  <c r="R52" i="1"/>
  <c r="K52" i="1"/>
  <c r="R53" i="1"/>
  <c r="K53" i="1"/>
  <c r="R44" i="1"/>
  <c r="K44" i="1"/>
  <c r="R39" i="1"/>
  <c r="K39" i="1"/>
  <c r="R65" i="1"/>
  <c r="K65" i="1"/>
  <c r="R67" i="1"/>
  <c r="K67" i="1"/>
  <c r="R58" i="1"/>
  <c r="K58" i="1"/>
  <c r="R57" i="1"/>
  <c r="K57" i="1"/>
  <c r="R62" i="1"/>
  <c r="K62" i="1"/>
  <c r="R61" i="1"/>
  <c r="K61" i="1"/>
  <c r="R60" i="1"/>
  <c r="K60" i="1"/>
  <c r="R51" i="1"/>
  <c r="K51" i="1"/>
  <c r="R50" i="1"/>
  <c r="K50" i="1"/>
  <c r="R43" i="1"/>
  <c r="K43" i="1"/>
  <c r="R42" i="1"/>
  <c r="K42" i="1"/>
  <c r="R22" i="1"/>
  <c r="K22" i="1"/>
  <c r="R72" i="1"/>
  <c r="K72" i="1"/>
  <c r="R71" i="1"/>
  <c r="K71" i="1"/>
  <c r="R70" i="1"/>
  <c r="K70" i="1"/>
  <c r="R59" i="1"/>
  <c r="K59" i="1"/>
  <c r="R46" i="1"/>
  <c r="K46" i="1"/>
  <c r="R15" i="1"/>
  <c r="K15" i="1"/>
  <c r="R5" i="1"/>
  <c r="K5" i="1"/>
  <c r="R49" i="1"/>
  <c r="K49" i="1"/>
  <c r="R41" i="1"/>
  <c r="K41" i="1"/>
  <c r="R45" i="1"/>
  <c r="K45" i="1"/>
  <c r="R24" i="1"/>
  <c r="K24" i="1"/>
  <c r="R17" i="1"/>
  <c r="K17" i="1"/>
  <c r="R4" i="1"/>
  <c r="K4" i="1"/>
  <c r="R9" i="1"/>
  <c r="K9" i="1"/>
  <c r="R38" i="1"/>
  <c r="K38" i="1"/>
  <c r="R37" i="1"/>
  <c r="K37" i="1"/>
  <c r="R32" i="1"/>
  <c r="K32" i="1"/>
  <c r="R23" i="1"/>
  <c r="K23" i="1"/>
  <c r="R14" i="1"/>
  <c r="K14" i="1"/>
  <c r="R13" i="1"/>
  <c r="K13" i="1"/>
  <c r="R8" i="1"/>
  <c r="K8" i="1"/>
  <c r="R7" i="1"/>
  <c r="K7" i="1"/>
  <c r="R26" i="1"/>
  <c r="K26" i="1"/>
  <c r="R19" i="1"/>
  <c r="K19" i="1"/>
  <c r="R18" i="1"/>
  <c r="K18" i="1"/>
  <c r="R31" i="1"/>
  <c r="K31" i="1"/>
  <c r="R12" i="1"/>
  <c r="K12" i="1"/>
  <c r="R36" i="1"/>
  <c r="K36" i="1"/>
  <c r="R30" i="1"/>
  <c r="K30" i="1"/>
  <c r="R29" i="1"/>
  <c r="K29" i="1"/>
  <c r="R21" i="1"/>
  <c r="K21" i="1"/>
  <c r="R11" i="1"/>
  <c r="K11" i="1"/>
  <c r="R10" i="1"/>
  <c r="K10" i="1"/>
  <c r="R35" i="1"/>
  <c r="K35" i="1"/>
  <c r="R28" i="1"/>
  <c r="K28" i="1"/>
  <c r="R27" i="1"/>
  <c r="K27" i="1"/>
  <c r="R20" i="1"/>
  <c r="K20" i="1"/>
  <c r="R33" i="1"/>
  <c r="K33" i="1"/>
  <c r="R16" i="1"/>
  <c r="K16" i="1"/>
  <c r="W232" i="1" l="1"/>
  <c r="Y232" i="1" s="1"/>
  <c r="W230" i="1"/>
  <c r="X230" i="1"/>
  <c r="X233" i="1"/>
  <c r="Y233" i="1" s="1"/>
  <c r="W197" i="1"/>
  <c r="X197" i="1"/>
  <c r="X198" i="1"/>
  <c r="Y198" i="1" s="1"/>
  <c r="X225" i="1"/>
  <c r="Y225" i="1" s="1"/>
  <c r="W224" i="1"/>
  <c r="W226" i="1"/>
  <c r="X224" i="1"/>
  <c r="X226" i="1"/>
  <c r="K234" i="1"/>
  <c r="R234" i="1"/>
  <c r="Y197" i="1" l="1"/>
  <c r="Y230" i="1"/>
  <c r="Y224" i="1"/>
  <c r="Y226" i="1"/>
</calcChain>
</file>

<file path=xl/sharedStrings.xml><?xml version="1.0" encoding="utf-8"?>
<sst xmlns="http://schemas.openxmlformats.org/spreadsheetml/2006/main" count="2708" uniqueCount="839">
  <si>
    <t>FACTURACION (NEGOCIO)</t>
  </si>
  <si>
    <t>PLANTA Y/O TIPO DE DOC</t>
  </si>
  <si>
    <t>REMISION EMBARQUE</t>
  </si>
  <si>
    <t>FECHA EMBARQUE</t>
  </si>
  <si>
    <t>FACTURA / NC</t>
  </si>
  <si>
    <t>FECHA FACTURACION</t>
  </si>
  <si>
    <t>CLIENTE</t>
  </si>
  <si>
    <t>PRECIO COMPRA</t>
  </si>
  <si>
    <t>IMPORTE</t>
  </si>
  <si>
    <t>FACTURA</t>
  </si>
  <si>
    <t>MATERIAL</t>
  </si>
  <si>
    <t>CODIGO DEL ARTICULO</t>
  </si>
  <si>
    <t>PEDIDO</t>
  </si>
  <si>
    <t>CANTIDAD KG</t>
  </si>
  <si>
    <t>SUBTOTAL</t>
  </si>
  <si>
    <t>IVA</t>
  </si>
  <si>
    <t>TOTAL</t>
  </si>
  <si>
    <t>LAISA</t>
  </si>
  <si>
    <t xml:space="preserve">F-A31091    </t>
  </si>
  <si>
    <t>BIO PAPPEL</t>
  </si>
  <si>
    <t>GDLA102447</t>
  </si>
  <si>
    <t>✔️</t>
  </si>
  <si>
    <t>DKL GUADALAJARA</t>
  </si>
  <si>
    <t xml:space="preserve">15DKLGUA       </t>
  </si>
  <si>
    <t>DKL2508001</t>
  </si>
  <si>
    <t xml:space="preserve">F-A31053    </t>
  </si>
  <si>
    <t>GDLA102448</t>
  </si>
  <si>
    <t>DKL2508002</t>
  </si>
  <si>
    <t>7531M13413</t>
  </si>
  <si>
    <t xml:space="preserve">F-A31054    </t>
  </si>
  <si>
    <t>SAN PABLO</t>
  </si>
  <si>
    <t>7158SF152158</t>
  </si>
  <si>
    <t>DKL SILAO</t>
  </si>
  <si>
    <t xml:space="preserve">15DKLSIL       </t>
  </si>
  <si>
    <t>DKL2508003</t>
  </si>
  <si>
    <t>7531M13414</t>
  </si>
  <si>
    <t xml:space="preserve">F-A31055    </t>
  </si>
  <si>
    <t>7158SF152160</t>
  </si>
  <si>
    <t>DKL2508004</t>
  </si>
  <si>
    <t>7531M13415</t>
  </si>
  <si>
    <t xml:space="preserve">F-A31056    </t>
  </si>
  <si>
    <t>7158SF152161</t>
  </si>
  <si>
    <t>DKL2508005</t>
  </si>
  <si>
    <t>7531M13419</t>
  </si>
  <si>
    <t xml:space="preserve">F-A31057    </t>
  </si>
  <si>
    <t>7158SF152162</t>
  </si>
  <si>
    <t>DKL2508006</t>
  </si>
  <si>
    <t xml:space="preserve">F-A31058    </t>
  </si>
  <si>
    <t>❌</t>
  </si>
  <si>
    <t>DKL SAN JOSE ITURBIDE</t>
  </si>
  <si>
    <t xml:space="preserve">15DKLSNJI      </t>
  </si>
  <si>
    <t>DKL2508007</t>
  </si>
  <si>
    <t xml:space="preserve">F-A31059    </t>
  </si>
  <si>
    <t>DKL2508008</t>
  </si>
  <si>
    <t xml:space="preserve">F-A31060    </t>
  </si>
  <si>
    <t>GTOA210000</t>
  </si>
  <si>
    <t>DKL2508009</t>
  </si>
  <si>
    <t xml:space="preserve">F-A31061    </t>
  </si>
  <si>
    <t>GTOA210002</t>
  </si>
  <si>
    <t>DKL2508010</t>
  </si>
  <si>
    <t xml:space="preserve">F-A31062    </t>
  </si>
  <si>
    <t>GTOA210006</t>
  </si>
  <si>
    <t>DKL2508011</t>
  </si>
  <si>
    <t xml:space="preserve">F-A31063    </t>
  </si>
  <si>
    <t>GTOA210008</t>
  </si>
  <si>
    <t>DKL2508012</t>
  </si>
  <si>
    <t xml:space="preserve">F-A31064    </t>
  </si>
  <si>
    <t>DESA RECICLADO</t>
  </si>
  <si>
    <t>DKL2508013</t>
  </si>
  <si>
    <t xml:space="preserve">F-A31065    </t>
  </si>
  <si>
    <t>GTOA210005</t>
  </si>
  <si>
    <t>DKL2508014</t>
  </si>
  <si>
    <t xml:space="preserve">F-A31066    </t>
  </si>
  <si>
    <t>DKL MONTERREY</t>
  </si>
  <si>
    <t xml:space="preserve">15DKLMTY       </t>
  </si>
  <si>
    <t>DKL2508015</t>
  </si>
  <si>
    <t xml:space="preserve">F-A31067    </t>
  </si>
  <si>
    <t>DKL2508016</t>
  </si>
  <si>
    <t xml:space="preserve">F-A31068    </t>
  </si>
  <si>
    <t>DKL2508017</t>
  </si>
  <si>
    <t xml:space="preserve">F-A31069    </t>
  </si>
  <si>
    <t>DKL TOLUCA</t>
  </si>
  <si>
    <t xml:space="preserve">15DKLTOL       </t>
  </si>
  <si>
    <t>DKL2508018</t>
  </si>
  <si>
    <t xml:space="preserve">F-A31070    </t>
  </si>
  <si>
    <t>DKL2508019</t>
  </si>
  <si>
    <t xml:space="preserve">F-A31071    </t>
  </si>
  <si>
    <t>7727F227715</t>
  </si>
  <si>
    <t>DKL2508020</t>
  </si>
  <si>
    <t xml:space="preserve">F-A31072    </t>
  </si>
  <si>
    <t>7727F227639</t>
  </si>
  <si>
    <t>DKL2508021</t>
  </si>
  <si>
    <t xml:space="preserve">F-A31073    </t>
  </si>
  <si>
    <t>7727F227716</t>
  </si>
  <si>
    <t>DKL2508022</t>
  </si>
  <si>
    <t xml:space="preserve">F-A31074    </t>
  </si>
  <si>
    <t>7727F227717</t>
  </si>
  <si>
    <t>DKL2508023</t>
  </si>
  <si>
    <t xml:space="preserve">F-A31075    </t>
  </si>
  <si>
    <t>7727F227718</t>
  </si>
  <si>
    <t>DKL2508024</t>
  </si>
  <si>
    <t xml:space="preserve">F-A31076    </t>
  </si>
  <si>
    <t>7727F227721</t>
  </si>
  <si>
    <t>DKL2508025</t>
  </si>
  <si>
    <t xml:space="preserve">F-A31082    </t>
  </si>
  <si>
    <t>DKL CD JUAREZ</t>
  </si>
  <si>
    <t xml:space="preserve">15DKLCDJUA     </t>
  </si>
  <si>
    <t>DKL2508026</t>
  </si>
  <si>
    <t xml:space="preserve">F-A31088    </t>
  </si>
  <si>
    <t>ULTRA</t>
  </si>
  <si>
    <t>DKL MOCHIS</t>
  </si>
  <si>
    <t xml:space="preserve">15DKLMOCH      </t>
  </si>
  <si>
    <t>DKL2508027</t>
  </si>
  <si>
    <t xml:space="preserve">F-A31089    </t>
  </si>
  <si>
    <t>SINA183641</t>
  </si>
  <si>
    <t>DKL2508028</t>
  </si>
  <si>
    <t xml:space="preserve">F-A31090    </t>
  </si>
  <si>
    <t>SINA183643</t>
  </si>
  <si>
    <t>DKL2508029</t>
  </si>
  <si>
    <t xml:space="preserve">F-A31092    </t>
  </si>
  <si>
    <t>GDLA102443</t>
  </si>
  <si>
    <t>DKL2508030</t>
  </si>
  <si>
    <t xml:space="preserve">F-A31093    </t>
  </si>
  <si>
    <t>DKL2508031</t>
  </si>
  <si>
    <t xml:space="preserve">F-A31094    </t>
  </si>
  <si>
    <t>DKL2508032</t>
  </si>
  <si>
    <t xml:space="preserve">F-A31095    </t>
  </si>
  <si>
    <t>DESA MOLINO</t>
  </si>
  <si>
    <t>DKL2508033</t>
  </si>
  <si>
    <t>N/A</t>
  </si>
  <si>
    <t xml:space="preserve">F-A31096    </t>
  </si>
  <si>
    <t>7727F227424</t>
  </si>
  <si>
    <t>DKL2508034</t>
  </si>
  <si>
    <t>11970-167930</t>
  </si>
  <si>
    <t xml:space="preserve">F-A31097    </t>
  </si>
  <si>
    <t xml:space="preserve">DKL IXTAC                                         </t>
  </si>
  <si>
    <t xml:space="preserve">15DKLIXTAC     </t>
  </si>
  <si>
    <t>DKL2508035</t>
  </si>
  <si>
    <t xml:space="preserve">F-A31098    </t>
  </si>
  <si>
    <t>SMURFIT</t>
  </si>
  <si>
    <t>F148634</t>
  </si>
  <si>
    <t xml:space="preserve">DKL PUEBLA                                        </t>
  </si>
  <si>
    <t xml:space="preserve">15DKLPUE       </t>
  </si>
  <si>
    <t>DKL2508036</t>
  </si>
  <si>
    <t>7531M13421</t>
  </si>
  <si>
    <t xml:space="preserve">F-A31131    </t>
  </si>
  <si>
    <t>7158SF152168</t>
  </si>
  <si>
    <t>DKL2508037</t>
  </si>
  <si>
    <t>7531M13423</t>
  </si>
  <si>
    <t xml:space="preserve">F-A31134    </t>
  </si>
  <si>
    <t>7158SF152169</t>
  </si>
  <si>
    <t>DKL2508038</t>
  </si>
  <si>
    <t>7531M13428</t>
  </si>
  <si>
    <t xml:space="preserve">F-A31136    </t>
  </si>
  <si>
    <t>7158SF152172</t>
  </si>
  <si>
    <t>DKL2508039</t>
  </si>
  <si>
    <t xml:space="preserve">F-A31138    </t>
  </si>
  <si>
    <t>GTOA210001</t>
  </si>
  <si>
    <t>DKL2508040</t>
  </si>
  <si>
    <t xml:space="preserve">F-A31140    </t>
  </si>
  <si>
    <t>GTOA210011</t>
  </si>
  <si>
    <t>DKL2508041</t>
  </si>
  <si>
    <t xml:space="preserve">F-A31141    </t>
  </si>
  <si>
    <t>GTOA210012</t>
  </si>
  <si>
    <t>DKL2508042</t>
  </si>
  <si>
    <t xml:space="preserve">F-A31143    </t>
  </si>
  <si>
    <t>DKL2508043</t>
  </si>
  <si>
    <t xml:space="preserve">F-A31144    </t>
  </si>
  <si>
    <t>DKL2508044</t>
  </si>
  <si>
    <t xml:space="preserve">F-A31145    </t>
  </si>
  <si>
    <t>GTOA210061</t>
  </si>
  <si>
    <t>DKL2508045</t>
  </si>
  <si>
    <t xml:space="preserve">F-A31147    </t>
  </si>
  <si>
    <t>GTOA209997</t>
  </si>
  <si>
    <t>DKL2508046</t>
  </si>
  <si>
    <t xml:space="preserve">F-A31148    </t>
  </si>
  <si>
    <t>GTOA209998</t>
  </si>
  <si>
    <t>DKL2508047</t>
  </si>
  <si>
    <t xml:space="preserve">F-A31151    </t>
  </si>
  <si>
    <t>DKL2508048</t>
  </si>
  <si>
    <t xml:space="preserve">F-A31154    </t>
  </si>
  <si>
    <t>DKL2508049</t>
  </si>
  <si>
    <t xml:space="preserve">F-A31156    </t>
  </si>
  <si>
    <t>DKL2508050</t>
  </si>
  <si>
    <t xml:space="preserve">F-A31157    </t>
  </si>
  <si>
    <t>7727F227726</t>
  </si>
  <si>
    <t>DKL2508051</t>
  </si>
  <si>
    <t xml:space="preserve">F-A31158    </t>
  </si>
  <si>
    <t>7727F227722</t>
  </si>
  <si>
    <t>DKL2508052</t>
  </si>
  <si>
    <t xml:space="preserve">F-A31159    </t>
  </si>
  <si>
    <t>7727F227723</t>
  </si>
  <si>
    <t>DKL2508053</t>
  </si>
  <si>
    <t xml:space="preserve">F-A31160    </t>
  </si>
  <si>
    <t>7727F227725</t>
  </si>
  <si>
    <t>DKL2508054</t>
  </si>
  <si>
    <t xml:space="preserve">F-A31161    </t>
  </si>
  <si>
    <t>GTOA210009</t>
  </si>
  <si>
    <t>DKL2508055</t>
  </si>
  <si>
    <t xml:space="preserve">F-A31162    </t>
  </si>
  <si>
    <t>DKL2508056</t>
  </si>
  <si>
    <t xml:space="preserve">F-A31163    </t>
  </si>
  <si>
    <t>GTOA209999</t>
  </si>
  <si>
    <t>DKL2508057</t>
  </si>
  <si>
    <t xml:space="preserve">F-A31164    </t>
  </si>
  <si>
    <t>DKL2508058</t>
  </si>
  <si>
    <t xml:space="preserve">F-A31165    </t>
  </si>
  <si>
    <t>SINA183642</t>
  </si>
  <si>
    <t>DKL2508059</t>
  </si>
  <si>
    <t xml:space="preserve">F-A31166    </t>
  </si>
  <si>
    <t>SINA183644</t>
  </si>
  <si>
    <t>DKL2508060</t>
  </si>
  <si>
    <t xml:space="preserve">F-A31167    </t>
  </si>
  <si>
    <t>SINA183645</t>
  </si>
  <si>
    <t>DKL2508061</t>
  </si>
  <si>
    <t xml:space="preserve">F-A31168    </t>
  </si>
  <si>
    <t>SINA183913</t>
  </si>
  <si>
    <t>DKL2508062</t>
  </si>
  <si>
    <t xml:space="preserve">F-A31169    </t>
  </si>
  <si>
    <t>SINA183914</t>
  </si>
  <si>
    <t>DKL2508063</t>
  </si>
  <si>
    <t xml:space="preserve">F-A31170    </t>
  </si>
  <si>
    <t>SINA183915</t>
  </si>
  <si>
    <t>DKL2508064</t>
  </si>
  <si>
    <t xml:space="preserve">F-A31171    </t>
  </si>
  <si>
    <t>SINA183916</t>
  </si>
  <si>
    <t>DKL2508065</t>
  </si>
  <si>
    <t>11971-167765</t>
  </si>
  <si>
    <t xml:space="preserve">F-A31172    </t>
  </si>
  <si>
    <t>DKL2508066</t>
  </si>
  <si>
    <t>11972-168072</t>
  </si>
  <si>
    <t xml:space="preserve">F-A31173    </t>
  </si>
  <si>
    <t>DKL2508067</t>
  </si>
  <si>
    <t xml:space="preserve">F-A31174    </t>
  </si>
  <si>
    <t>SINA183908</t>
  </si>
  <si>
    <t>DKL2508068</t>
  </si>
  <si>
    <t>11974-168284</t>
  </si>
  <si>
    <t xml:space="preserve">F-A31175    </t>
  </si>
  <si>
    <t>DKL2508069</t>
  </si>
  <si>
    <t>F-31188</t>
  </si>
  <si>
    <t>DKL2508070</t>
  </si>
  <si>
    <t>F-31189</t>
  </si>
  <si>
    <t>DKL2508071</t>
  </si>
  <si>
    <t>F-A31190</t>
  </si>
  <si>
    <t>GDLA102444</t>
  </si>
  <si>
    <t>DKL2508072</t>
  </si>
  <si>
    <t>F-A31191</t>
  </si>
  <si>
    <t>F148635</t>
  </si>
  <si>
    <t>DKL2508073</t>
  </si>
  <si>
    <t>GTOA210020</t>
  </si>
  <si>
    <t>DKL2508074</t>
  </si>
  <si>
    <t>F-A31198</t>
  </si>
  <si>
    <t>GTOA210018</t>
  </si>
  <si>
    <t>DKL2508075</t>
  </si>
  <si>
    <t>F-A31199</t>
  </si>
  <si>
    <t>GTOA210017</t>
  </si>
  <si>
    <t>DKL2508076</t>
  </si>
  <si>
    <t>GTOA210016</t>
  </si>
  <si>
    <t>DKL2508077</t>
  </si>
  <si>
    <t>GTOA210014</t>
  </si>
  <si>
    <t>DKL2508078</t>
  </si>
  <si>
    <t>GTOA210015</t>
  </si>
  <si>
    <t>DKL2508079</t>
  </si>
  <si>
    <t>GTOA210106</t>
  </si>
  <si>
    <t>DKL2508080</t>
  </si>
  <si>
    <t>GTOA210108</t>
  </si>
  <si>
    <t>DKL2508081</t>
  </si>
  <si>
    <t xml:space="preserve">F-A31201    </t>
  </si>
  <si>
    <t>DKL2508082</t>
  </si>
  <si>
    <t xml:space="preserve">F-A31202    </t>
  </si>
  <si>
    <t>DKL2508083</t>
  </si>
  <si>
    <t xml:space="preserve">F-A31203    </t>
  </si>
  <si>
    <t>7727F227730</t>
  </si>
  <si>
    <t>DKL2508084</t>
  </si>
  <si>
    <t xml:space="preserve">F-A31204    </t>
  </si>
  <si>
    <t>7727F227731</t>
  </si>
  <si>
    <t>DKL2508085</t>
  </si>
  <si>
    <t xml:space="preserve">F-A31205    </t>
  </si>
  <si>
    <t>7727F227955</t>
  </si>
  <si>
    <t>DKL2508086</t>
  </si>
  <si>
    <t xml:space="preserve">F-A31209    </t>
  </si>
  <si>
    <t>7727F227724</t>
  </si>
  <si>
    <t xml:space="preserve">DKL TOLUCA PRE-CONSUMO              </t>
  </si>
  <si>
    <t xml:space="preserve">15DKLTOLPC     </t>
  </si>
  <si>
    <t>DKL2508087</t>
  </si>
  <si>
    <t xml:space="preserve">F-A31211    </t>
  </si>
  <si>
    <t>7727F227727</t>
  </si>
  <si>
    <t xml:space="preserve">        DKL TOLUCA PRE-CONSUMO              </t>
  </si>
  <si>
    <t>DKL2508088</t>
  </si>
  <si>
    <t xml:space="preserve">F-A31213    </t>
  </si>
  <si>
    <t>7727F227728</t>
  </si>
  <si>
    <t>DKL2508089</t>
  </si>
  <si>
    <t xml:space="preserve">F-A31214    </t>
  </si>
  <si>
    <t>7727F227729</t>
  </si>
  <si>
    <t>DKL2508090</t>
  </si>
  <si>
    <t xml:space="preserve">F-A31215    </t>
  </si>
  <si>
    <t>7727F227733</t>
  </si>
  <si>
    <t>DKL2508091</t>
  </si>
  <si>
    <t xml:space="preserve">F-A31217    </t>
  </si>
  <si>
    <t>7727F227954</t>
  </si>
  <si>
    <t>DKL2508092</t>
  </si>
  <si>
    <t>11957-167076</t>
  </si>
  <si>
    <t xml:space="preserve">F-A31230    </t>
  </si>
  <si>
    <t>DKL2508093</t>
  </si>
  <si>
    <t xml:space="preserve">F-A31241    </t>
  </si>
  <si>
    <t>GDLA102445</t>
  </si>
  <si>
    <t xml:space="preserve">DKL  GUADALAJARA                                  </t>
  </si>
  <si>
    <t>DKL2508094</t>
  </si>
  <si>
    <t>7531M13433</t>
  </si>
  <si>
    <t xml:space="preserve">F-A31242    </t>
  </si>
  <si>
    <t>7158SF152306</t>
  </si>
  <si>
    <t>DKL2508095</t>
  </si>
  <si>
    <t>7531M13435</t>
  </si>
  <si>
    <t xml:space="preserve">F-A31243    </t>
  </si>
  <si>
    <t>7158SF152309</t>
  </si>
  <si>
    <t>DKL2508096</t>
  </si>
  <si>
    <t>7531M13439</t>
  </si>
  <si>
    <t xml:space="preserve">F-A31244    </t>
  </si>
  <si>
    <t>7158SF152310</t>
  </si>
  <si>
    <t>DKL2508097</t>
  </si>
  <si>
    <t>7531M13440</t>
  </si>
  <si>
    <t xml:space="preserve">F-A31245    </t>
  </si>
  <si>
    <t>7158SF152311</t>
  </si>
  <si>
    <t>DKL2508098</t>
  </si>
  <si>
    <t xml:space="preserve">F-A31246    </t>
  </si>
  <si>
    <t>GTOA210105</t>
  </si>
  <si>
    <t>DKL2508099</t>
  </si>
  <si>
    <t xml:space="preserve">F-A31247    </t>
  </si>
  <si>
    <t>GTOA210157</t>
  </si>
  <si>
    <t>DKL2508100</t>
  </si>
  <si>
    <t xml:space="preserve">F-A31248    </t>
  </si>
  <si>
    <t>GTOA210224</t>
  </si>
  <si>
    <t>DKL2508101</t>
  </si>
  <si>
    <t xml:space="preserve">F-A31249    </t>
  </si>
  <si>
    <t>7727F227960</t>
  </si>
  <si>
    <t xml:space="preserve">DKL TOLUCA                                        </t>
  </si>
  <si>
    <t>DKL2508102</t>
  </si>
  <si>
    <t xml:space="preserve">F-A31250    </t>
  </si>
  <si>
    <t>7727F227961</t>
  </si>
  <si>
    <t>DKL2508103</t>
  </si>
  <si>
    <t xml:space="preserve">F-A31251    </t>
  </si>
  <si>
    <t>GTOA210019</t>
  </si>
  <si>
    <t>DKL2508104</t>
  </si>
  <si>
    <t xml:space="preserve">F-A31252    </t>
  </si>
  <si>
    <t>GTOA210158</t>
  </si>
  <si>
    <t>DKL2508105</t>
  </si>
  <si>
    <t xml:space="preserve">F-A31253    </t>
  </si>
  <si>
    <t>GTOA210159</t>
  </si>
  <si>
    <t>DKL2508106</t>
  </si>
  <si>
    <t xml:space="preserve">F-A31254    </t>
  </si>
  <si>
    <t>7727F227956</t>
  </si>
  <si>
    <t>DKL2508107</t>
  </si>
  <si>
    <t xml:space="preserve">F-A31255    </t>
  </si>
  <si>
    <t>SINA183906</t>
  </si>
  <si>
    <t>DKL2508108</t>
  </si>
  <si>
    <t xml:space="preserve">F-A31256    </t>
  </si>
  <si>
    <t>SINA183904</t>
  </si>
  <si>
    <t>DKL2508109</t>
  </si>
  <si>
    <t xml:space="preserve">F-A31257    </t>
  </si>
  <si>
    <t>SINA183903</t>
  </si>
  <si>
    <t>DKL2508110</t>
  </si>
  <si>
    <t xml:space="preserve">F-A31258    </t>
  </si>
  <si>
    <t>SINA183902</t>
  </si>
  <si>
    <t>DKL2508111</t>
  </si>
  <si>
    <t xml:space="preserve">F-A31259    </t>
  </si>
  <si>
    <t>F148636</t>
  </si>
  <si>
    <t>DKL2508112</t>
  </si>
  <si>
    <t>18-ago.-25</t>
  </si>
  <si>
    <t xml:space="preserve">F-A31276    </t>
  </si>
  <si>
    <t>GDLA102547</t>
  </si>
  <si>
    <t>DKL2508113</t>
  </si>
  <si>
    <t>7531M13444</t>
  </si>
  <si>
    <t>15-ago.-25</t>
  </si>
  <si>
    <t xml:space="preserve">F-A31277    </t>
  </si>
  <si>
    <t>7158SF152312</t>
  </si>
  <si>
    <t>DKL2508114</t>
  </si>
  <si>
    <t>7531M13446</t>
  </si>
  <si>
    <t>16-ago.-25</t>
  </si>
  <si>
    <t xml:space="preserve">F-A31278    </t>
  </si>
  <si>
    <t>7158SF152313</t>
  </si>
  <si>
    <t>DKL2508115</t>
  </si>
  <si>
    <t>7531M13447</t>
  </si>
  <si>
    <t xml:space="preserve">F-A31279    </t>
  </si>
  <si>
    <t>7158SF152314</t>
  </si>
  <si>
    <t>DKL2508116</t>
  </si>
  <si>
    <t xml:space="preserve">F-A31280    </t>
  </si>
  <si>
    <t xml:space="preserve">DKL MONTERREY                                     </t>
  </si>
  <si>
    <t>DKL2508117</t>
  </si>
  <si>
    <t>13-ago.-25</t>
  </si>
  <si>
    <t xml:space="preserve">F-A31281    </t>
  </si>
  <si>
    <t>7727F227958</t>
  </si>
  <si>
    <t>DKL2508118</t>
  </si>
  <si>
    <t xml:space="preserve">F-A31282    </t>
  </si>
  <si>
    <t>7727F227959</t>
  </si>
  <si>
    <t>DKL2508120</t>
  </si>
  <si>
    <t>12-ago.-25</t>
  </si>
  <si>
    <t xml:space="preserve">F-A31283    </t>
  </si>
  <si>
    <t>SINA183905</t>
  </si>
  <si>
    <t>DKL2508122</t>
  </si>
  <si>
    <t xml:space="preserve">F-A31284    </t>
  </si>
  <si>
    <t>SINA183909</t>
  </si>
  <si>
    <t>DKL2508124</t>
  </si>
  <si>
    <t xml:space="preserve">F-A31299    </t>
  </si>
  <si>
    <t>19-ago.-25</t>
  </si>
  <si>
    <t>DKL2508119</t>
  </si>
  <si>
    <t>17-ago.-25</t>
  </si>
  <si>
    <t xml:space="preserve">F-A31300    </t>
  </si>
  <si>
    <t>DKL2508121</t>
  </si>
  <si>
    <t xml:space="preserve">F-A31301    </t>
  </si>
  <si>
    <t>DKL2508123</t>
  </si>
  <si>
    <t xml:space="preserve">F-A31315    </t>
  </si>
  <si>
    <t>DKL2508125</t>
  </si>
  <si>
    <t xml:space="preserve">F-A31317    </t>
  </si>
  <si>
    <t>DKL2508126</t>
  </si>
  <si>
    <t>7531M13448</t>
  </si>
  <si>
    <t xml:space="preserve">F-A31293    </t>
  </si>
  <si>
    <t>7158SF152315</t>
  </si>
  <si>
    <t>7531M13452</t>
  </si>
  <si>
    <t xml:space="preserve">F-A31294    </t>
  </si>
  <si>
    <t>7158SF152344</t>
  </si>
  <si>
    <t xml:space="preserve">F-A31318    </t>
  </si>
  <si>
    <t xml:space="preserve">F-A31302    </t>
  </si>
  <si>
    <t>SINA183901</t>
  </si>
  <si>
    <t xml:space="preserve">F-A31304    </t>
  </si>
  <si>
    <t>SINA183899</t>
  </si>
  <si>
    <t xml:space="preserve">F-A31309    </t>
  </si>
  <si>
    <t>SINA184092</t>
  </si>
  <si>
    <t>7539M23724</t>
  </si>
  <si>
    <t xml:space="preserve">F-A31295    </t>
  </si>
  <si>
    <t>20-ago.-25</t>
  </si>
  <si>
    <t>7539M23725</t>
  </si>
  <si>
    <t xml:space="preserve">F-A31296    </t>
  </si>
  <si>
    <t>7539M23726</t>
  </si>
  <si>
    <t xml:space="preserve">F-A31297    </t>
  </si>
  <si>
    <t>7539M23727</t>
  </si>
  <si>
    <t xml:space="preserve">F-A31298    </t>
  </si>
  <si>
    <t>DKL2508127</t>
  </si>
  <si>
    <t>7537M10147</t>
  </si>
  <si>
    <t xml:space="preserve">F-A31356    </t>
  </si>
  <si>
    <t>21-ago.-25</t>
  </si>
  <si>
    <t>GDLA102548</t>
  </si>
  <si>
    <t>DKL2508137</t>
  </si>
  <si>
    <t>7540M114385</t>
  </si>
  <si>
    <t xml:space="preserve">F-A31343    </t>
  </si>
  <si>
    <t>GTOA210345</t>
  </si>
  <si>
    <t>DKL2508138</t>
  </si>
  <si>
    <t>7540M114387</t>
  </si>
  <si>
    <t xml:space="preserve">F-A31344    </t>
  </si>
  <si>
    <t>GTOA210347</t>
  </si>
  <si>
    <t>DKL2508139</t>
  </si>
  <si>
    <t>7540M114388</t>
  </si>
  <si>
    <t xml:space="preserve">F-A31345    </t>
  </si>
  <si>
    <t>GTOA210348</t>
  </si>
  <si>
    <t>DKL2508140</t>
  </si>
  <si>
    <t>7540M114389</t>
  </si>
  <si>
    <t xml:space="preserve">F-A31346    </t>
  </si>
  <si>
    <t>GTOA210349</t>
  </si>
  <si>
    <t>DKL2508141</t>
  </si>
  <si>
    <t>7540M114391</t>
  </si>
  <si>
    <t xml:space="preserve">F-A31347    </t>
  </si>
  <si>
    <t>GTOA210415</t>
  </si>
  <si>
    <t>DKL2508142</t>
  </si>
  <si>
    <t>7540M114392</t>
  </si>
  <si>
    <t xml:space="preserve">F-A31348    </t>
  </si>
  <si>
    <t>GTOA210416</t>
  </si>
  <si>
    <t>DKL2508143</t>
  </si>
  <si>
    <t>7540M114386</t>
  </si>
  <si>
    <t xml:space="preserve">F-A31349    </t>
  </si>
  <si>
    <t>GTOA210346</t>
  </si>
  <si>
    <t>DKL2508144</t>
  </si>
  <si>
    <t>7540M114390</t>
  </si>
  <si>
    <t xml:space="preserve">F-A31350    </t>
  </si>
  <si>
    <t>GTOA210414</t>
  </si>
  <si>
    <t>DKL2508145</t>
  </si>
  <si>
    <t>7727M114440</t>
  </si>
  <si>
    <t xml:space="preserve">F-A31351    </t>
  </si>
  <si>
    <t>7727F227957</t>
  </si>
  <si>
    <t>DKL TOLUCA GRANEL PREC</t>
  </si>
  <si>
    <t xml:space="preserve">15DKLTOLGPC    </t>
  </si>
  <si>
    <t>DKL2508146</t>
  </si>
  <si>
    <t>7727M114466</t>
  </si>
  <si>
    <t xml:space="preserve">F-A31352    </t>
  </si>
  <si>
    <t>DKL2508147</t>
  </si>
  <si>
    <t>7538M20813</t>
  </si>
  <si>
    <t xml:space="preserve">F-A31353    </t>
  </si>
  <si>
    <t>SINA184004</t>
  </si>
  <si>
    <t>DKL2508148</t>
  </si>
  <si>
    <t xml:space="preserve">F-A31354    </t>
  </si>
  <si>
    <t>F148620</t>
  </si>
  <si>
    <t>DKL2508149</t>
  </si>
  <si>
    <t xml:space="preserve">F-A31355    </t>
  </si>
  <si>
    <t>F148622</t>
  </si>
  <si>
    <t>DKL2508150</t>
  </si>
  <si>
    <t>7531M13457</t>
  </si>
  <si>
    <t xml:space="preserve">F-A31357    </t>
  </si>
  <si>
    <t>22-ago.-25</t>
  </si>
  <si>
    <t>7158SF152450</t>
  </si>
  <si>
    <t>DKL2508151</t>
  </si>
  <si>
    <t>7531M13461</t>
  </si>
  <si>
    <t xml:space="preserve">F-A31358    </t>
  </si>
  <si>
    <t>7158SF152451</t>
  </si>
  <si>
    <t>DKL2508152</t>
  </si>
  <si>
    <t>7540M114394</t>
  </si>
  <si>
    <t xml:space="preserve">F-A31359    </t>
  </si>
  <si>
    <t>GTOA210560</t>
  </si>
  <si>
    <t>DKL2508153</t>
  </si>
  <si>
    <t>7540M114395</t>
  </si>
  <si>
    <t xml:space="preserve">F-A31360    </t>
  </si>
  <si>
    <t>GTOA210559</t>
  </si>
  <si>
    <t>DKL2508154</t>
  </si>
  <si>
    <t>7727M114472</t>
  </si>
  <si>
    <t xml:space="preserve">F-A31361    </t>
  </si>
  <si>
    <t>7727F228744</t>
  </si>
  <si>
    <t>DKL2508155</t>
  </si>
  <si>
    <t>7538M20794</t>
  </si>
  <si>
    <t>11-ago.-25</t>
  </si>
  <si>
    <t xml:space="preserve">F-A31362    </t>
  </si>
  <si>
    <t>SINA183907</t>
  </si>
  <si>
    <t>DKL2508156</t>
  </si>
  <si>
    <t>7538M20811</t>
  </si>
  <si>
    <t xml:space="preserve">F-A31363    </t>
  </si>
  <si>
    <t>SINA184006</t>
  </si>
  <si>
    <t>DKL2508157</t>
  </si>
  <si>
    <t>7538M20815</t>
  </si>
  <si>
    <t xml:space="preserve">F-A31364    </t>
  </si>
  <si>
    <t>SINA184098</t>
  </si>
  <si>
    <t>DKL2508158</t>
  </si>
  <si>
    <t>7537M10148</t>
  </si>
  <si>
    <t>23-ago.-25</t>
  </si>
  <si>
    <t>F-A31377 </t>
  </si>
  <si>
    <t>25-ago.-25</t>
  </si>
  <si>
    <t>GDLA102549</t>
  </si>
  <si>
    <t>DKL2508159</t>
  </si>
  <si>
    <t>7540M114396</t>
  </si>
  <si>
    <t>F-A31378 </t>
  </si>
  <si>
    <t>GTOA210809</t>
  </si>
  <si>
    <t>DKL2508160</t>
  </si>
  <si>
    <t>7539M23728</t>
  </si>
  <si>
    <t>F-A31380 </t>
  </si>
  <si>
    <t>DKL2508161</t>
  </si>
  <si>
    <t>7539M23729</t>
  </si>
  <si>
    <t>F-A31382 </t>
  </si>
  <si>
    <t>DKL2508162</t>
  </si>
  <si>
    <t>7539M23730</t>
  </si>
  <si>
    <t>F-A31384 </t>
  </si>
  <si>
    <t>DKL2508163</t>
  </si>
  <si>
    <t>7539M23731</t>
  </si>
  <si>
    <t>F-A31385 </t>
  </si>
  <si>
    <t>DKL2508164</t>
  </si>
  <si>
    <t>07-ago.-25</t>
  </si>
  <si>
    <t>F-A31387 </t>
  </si>
  <si>
    <t xml:space="preserve">DKL CD JUAREZ                                     </t>
  </si>
  <si>
    <t>DKL2508165</t>
  </si>
  <si>
    <t>F-A31388 </t>
  </si>
  <si>
    <t>DKL2508166</t>
  </si>
  <si>
    <t>7727M114471</t>
  </si>
  <si>
    <t>F-A31389 </t>
  </si>
  <si>
    <t>7727F228743</t>
  </si>
  <si>
    <t xml:space="preserve">DKL TOLUCA PRE-CONSUMO                            </t>
  </si>
  <si>
    <t>DKL2508167</t>
  </si>
  <si>
    <t>7727M114474</t>
  </si>
  <si>
    <t>F-A31391 </t>
  </si>
  <si>
    <t>7727F228745</t>
  </si>
  <si>
    <t>DKL2508168</t>
  </si>
  <si>
    <t>11987-169383</t>
  </si>
  <si>
    <t>F-A31393 </t>
  </si>
  <si>
    <t>DKL2508169</t>
  </si>
  <si>
    <t>7537M10149</t>
  </si>
  <si>
    <t>26-ago.-25</t>
  </si>
  <si>
    <t>F-A31405</t>
  </si>
  <si>
    <t>GDLA102550</t>
  </si>
  <si>
    <t>DKL2508170</t>
  </si>
  <si>
    <t>7727M114477</t>
  </si>
  <si>
    <t>F-A31406</t>
  </si>
  <si>
    <t>7727F228746</t>
  </si>
  <si>
    <t>DKL2508171</t>
  </si>
  <si>
    <t>7727M114479</t>
  </si>
  <si>
    <t>F-A31407</t>
  </si>
  <si>
    <t>7727F228747</t>
  </si>
  <si>
    <t>DKL2508172</t>
  </si>
  <si>
    <t>7727M114484</t>
  </si>
  <si>
    <t>24-ago.-25</t>
  </si>
  <si>
    <t>F-A31408</t>
  </si>
  <si>
    <t>7727F228750</t>
  </si>
  <si>
    <t>DKL2508173</t>
  </si>
  <si>
    <t>7727M114490</t>
  </si>
  <si>
    <t>F-A31409</t>
  </si>
  <si>
    <t>7727F228754</t>
  </si>
  <si>
    <t>DKL2508174</t>
  </si>
  <si>
    <t>7727M114469</t>
  </si>
  <si>
    <t>F-A31410</t>
  </si>
  <si>
    <t>7727F228742</t>
  </si>
  <si>
    <t>DKL2508175</t>
  </si>
  <si>
    <t>7727M114483</t>
  </si>
  <si>
    <t>F-A31411</t>
  </si>
  <si>
    <t>7727F228749</t>
  </si>
  <si>
    <t>DKL2508176</t>
  </si>
  <si>
    <t>F-A31412</t>
  </si>
  <si>
    <t>F148677</t>
  </si>
  <si>
    <t>DKL2508177</t>
  </si>
  <si>
    <t>7727M114485</t>
  </si>
  <si>
    <t>F-A31429 </t>
  </si>
  <si>
    <t>27-ago.-25</t>
  </si>
  <si>
    <t>7727F228751</t>
  </si>
  <si>
    <t>DKL2508178</t>
  </si>
  <si>
    <t>7727M114488</t>
  </si>
  <si>
    <t>F-A31430 </t>
  </si>
  <si>
    <t>7727F228753</t>
  </si>
  <si>
    <t>DKL2508179</t>
  </si>
  <si>
    <t>7531M13467</t>
  </si>
  <si>
    <t>F-A31424 </t>
  </si>
  <si>
    <t>7158SF152452</t>
  </si>
  <si>
    <t>DKL2508180</t>
  </si>
  <si>
    <t>7531M13475</t>
  </si>
  <si>
    <t>F-A31425 </t>
  </si>
  <si>
    <t>DKL2508181</t>
  </si>
  <si>
    <t>7531M13483</t>
  </si>
  <si>
    <t>F-A31426 </t>
  </si>
  <si>
    <t>DKL2508182</t>
  </si>
  <si>
    <t>7531M13490</t>
  </si>
  <si>
    <t>F-A31427 </t>
  </si>
  <si>
    <t>DKL2508183</t>
  </si>
  <si>
    <t>7531M13491</t>
  </si>
  <si>
    <t>F-A31428 </t>
  </si>
  <si>
    <t>DKL2508184</t>
  </si>
  <si>
    <t>7537M10151</t>
  </si>
  <si>
    <t>28-ago.-25</t>
  </si>
  <si>
    <t>F-A31443 </t>
  </si>
  <si>
    <t>GDLA102578</t>
  </si>
  <si>
    <t>DKL2508185</t>
  </si>
  <si>
    <t>7531M13493</t>
  </si>
  <si>
    <t>F-A31444 </t>
  </si>
  <si>
    <t>DKL2508186</t>
  </si>
  <si>
    <t>7531M13494</t>
  </si>
  <si>
    <t>F-A31445 </t>
  </si>
  <si>
    <t>DKL2508187</t>
  </si>
  <si>
    <t>7540M114384</t>
  </si>
  <si>
    <t>F-A31446 </t>
  </si>
  <si>
    <t>GTOA210329</t>
  </si>
  <si>
    <t>DKL2508188</t>
  </si>
  <si>
    <t>7540M114397</t>
  </si>
  <si>
    <t>F-A31447 </t>
  </si>
  <si>
    <t>GTOA210658</t>
  </si>
  <si>
    <t>DKL2508189</t>
  </si>
  <si>
    <t>7540M114398</t>
  </si>
  <si>
    <t>F-A31448 </t>
  </si>
  <si>
    <t>DKL2508190</t>
  </si>
  <si>
    <t>7540M114406</t>
  </si>
  <si>
    <t>F-A31449 </t>
  </si>
  <si>
    <t>GTOA210705</t>
  </si>
  <si>
    <t>DKL2508191</t>
  </si>
  <si>
    <t>7540M114409</t>
  </si>
  <si>
    <t>F-A31450 </t>
  </si>
  <si>
    <t>GTOA210758</t>
  </si>
  <si>
    <t>DKL2508192</t>
  </si>
  <si>
    <t>7540M114410</t>
  </si>
  <si>
    <t>F-A31451 </t>
  </si>
  <si>
    <t>GTOA210759</t>
  </si>
  <si>
    <t>DKL2508193</t>
  </si>
  <si>
    <t>7540M114411</t>
  </si>
  <si>
    <t>F-A31452 </t>
  </si>
  <si>
    <t>GTOA210806</t>
  </si>
  <si>
    <t>DKL2508194</t>
  </si>
  <si>
    <t>7540M114412</t>
  </si>
  <si>
    <t>F-A31453 </t>
  </si>
  <si>
    <t>GTOA210807</t>
  </si>
  <si>
    <t>DKL2508195</t>
  </si>
  <si>
    <t>7540M114414</t>
  </si>
  <si>
    <t>F-A31454 </t>
  </si>
  <si>
    <t>GTOA210808</t>
  </si>
  <si>
    <t>DKL2508196</t>
  </si>
  <si>
    <t>7538M20817</t>
  </si>
  <si>
    <t>F-A31455 </t>
  </si>
  <si>
    <t>SINA184099</t>
  </si>
  <si>
    <t>DKL2508197</t>
  </si>
  <si>
    <t>7538M20820</t>
  </si>
  <si>
    <t>F-A31456 </t>
  </si>
  <si>
    <t>SINA184101</t>
  </si>
  <si>
    <t>DKL2508198</t>
  </si>
  <si>
    <t>7538M20824</t>
  </si>
  <si>
    <t>F-A31457 </t>
  </si>
  <si>
    <t>SINA184127</t>
  </si>
  <si>
    <t>DKL2508199</t>
  </si>
  <si>
    <t>7538M20827</t>
  </si>
  <si>
    <t>F-A31458 </t>
  </si>
  <si>
    <t>SINA184128</t>
  </si>
  <si>
    <t>DKL2508200</t>
  </si>
  <si>
    <t>11988-169605</t>
  </si>
  <si>
    <t>F-A31460 </t>
  </si>
  <si>
    <t>DKL2508201</t>
  </si>
  <si>
    <t>7540M114400</t>
  </si>
  <si>
    <t>29-ago.-25</t>
  </si>
  <si>
    <t>DKL2508202</t>
  </si>
  <si>
    <t>7540M114401</t>
  </si>
  <si>
    <t>DKL2508203</t>
  </si>
  <si>
    <t>7540M114405</t>
  </si>
  <si>
    <t>DKL2508204</t>
  </si>
  <si>
    <t>7540M114416</t>
  </si>
  <si>
    <t>GTOA210860</t>
  </si>
  <si>
    <t>DKL2508205</t>
  </si>
  <si>
    <t>7540M114417</t>
  </si>
  <si>
    <t>GTOA210861</t>
  </si>
  <si>
    <t>DKL2508206</t>
  </si>
  <si>
    <t>7539M23732</t>
  </si>
  <si>
    <t>DKL2508207</t>
  </si>
  <si>
    <t>7539M23734</t>
  </si>
  <si>
    <t>DKL2508208</t>
  </si>
  <si>
    <t>7539M23735</t>
  </si>
  <si>
    <t>DKL2508209</t>
  </si>
  <si>
    <t>7540M114403</t>
  </si>
  <si>
    <t>DKL2508210</t>
  </si>
  <si>
    <t>7540M114404</t>
  </si>
  <si>
    <t>DKL2508211</t>
  </si>
  <si>
    <t>7540M114408</t>
  </si>
  <si>
    <t>GTOA210706</t>
  </si>
  <si>
    <t>DKL2508212</t>
  </si>
  <si>
    <t>7727M114491</t>
  </si>
  <si>
    <t>7727F228755</t>
  </si>
  <si>
    <t>DKL2508213</t>
  </si>
  <si>
    <t>7727M114499</t>
  </si>
  <si>
    <t>F-A31488</t>
  </si>
  <si>
    <t>7727F228757</t>
  </si>
  <si>
    <t>DKL2508214</t>
  </si>
  <si>
    <t>7538M20819</t>
  </si>
  <si>
    <t>SINA184100</t>
  </si>
  <si>
    <t>DKL2508215</t>
  </si>
  <si>
    <t>7538M20821</t>
  </si>
  <si>
    <t>SINA184125</t>
  </si>
  <si>
    <t>DKL2508216</t>
  </si>
  <si>
    <t>7538M20822</t>
  </si>
  <si>
    <t>SINA184126</t>
  </si>
  <si>
    <t>DKL2508217</t>
  </si>
  <si>
    <t>F148728</t>
  </si>
  <si>
    <t>DKL2508218</t>
  </si>
  <si>
    <t>7531M13495</t>
  </si>
  <si>
    <t>30-ago.-25</t>
  </si>
  <si>
    <t>DKL2508219</t>
  </si>
  <si>
    <t>7531M13496</t>
  </si>
  <si>
    <t>DKL2508220</t>
  </si>
  <si>
    <t>7531M13497</t>
  </si>
  <si>
    <t>DKL2508221</t>
  </si>
  <si>
    <t>7539M23736</t>
  </si>
  <si>
    <t>DKL2508222</t>
  </si>
  <si>
    <t>7539M23739</t>
  </si>
  <si>
    <t>DKL2508223</t>
  </si>
  <si>
    <t>7539M23740</t>
  </si>
  <si>
    <t>DKL2508224</t>
  </si>
  <si>
    <t>7727M114503</t>
  </si>
  <si>
    <t>DKL2508225</t>
  </si>
  <si>
    <t>7727M114505</t>
  </si>
  <si>
    <t>7727F228759</t>
  </si>
  <si>
    <t>DKL2508226</t>
  </si>
  <si>
    <t>7727M114506</t>
  </si>
  <si>
    <t>7727F228758</t>
  </si>
  <si>
    <t>DKL2508227</t>
  </si>
  <si>
    <t>7538M20816</t>
  </si>
  <si>
    <t>DKL2508228</t>
  </si>
  <si>
    <t>7538M20837</t>
  </si>
  <si>
    <t>SINA184130</t>
  </si>
  <si>
    <t>DKL2508229</t>
  </si>
  <si>
    <t>7538M20840</t>
  </si>
  <si>
    <t>DKL2508230</t>
  </si>
  <si>
    <t xml:space="preserve"> 7538M20833</t>
  </si>
  <si>
    <t>SINA184129</t>
  </si>
  <si>
    <t>DKL2508231</t>
  </si>
  <si>
    <t>PRECIO VENTA</t>
  </si>
  <si>
    <t>F-A31193</t>
  </si>
  <si>
    <t>F-A31194</t>
  </si>
  <si>
    <t>F-A31195</t>
  </si>
  <si>
    <t>F-A31196</t>
  </si>
  <si>
    <t>F-A31197</t>
  </si>
  <si>
    <t>F-A31192</t>
  </si>
  <si>
    <t xml:space="preserve">F-A31476    </t>
  </si>
  <si>
    <t xml:space="preserve">F-A31477    </t>
  </si>
  <si>
    <t xml:space="preserve">F-A31478    </t>
  </si>
  <si>
    <t xml:space="preserve">F-A31479    </t>
  </si>
  <si>
    <t xml:space="preserve">F-A31480    </t>
  </si>
  <si>
    <t xml:space="preserve">F-A31484    </t>
  </si>
  <si>
    <t xml:space="preserve">F-A31485    </t>
  </si>
  <si>
    <t xml:space="preserve">F-A31486    </t>
  </si>
  <si>
    <t xml:space="preserve">F-A31499    </t>
  </si>
  <si>
    <t xml:space="preserve">F-A31500    </t>
  </si>
  <si>
    <t xml:space="preserve">F-A31501    </t>
  </si>
  <si>
    <t xml:space="preserve">F-A31487    </t>
  </si>
  <si>
    <t xml:space="preserve">F-A31489    </t>
  </si>
  <si>
    <t xml:space="preserve">F-A31490    </t>
  </si>
  <si>
    <t xml:space="preserve">F-A31491    </t>
  </si>
  <si>
    <t xml:space="preserve">F-A31502    </t>
  </si>
  <si>
    <t xml:space="preserve">F-A31503    </t>
  </si>
  <si>
    <t xml:space="preserve">F-A31504    </t>
  </si>
  <si>
    <t xml:space="preserve">F-A31505    </t>
  </si>
  <si>
    <t xml:space="preserve">F-A31493    </t>
  </si>
  <si>
    <t xml:space="preserve">F-A31494    </t>
  </si>
  <si>
    <t xml:space="preserve">F-A31495    </t>
  </si>
  <si>
    <t xml:space="preserve">F-A31492    </t>
  </si>
  <si>
    <t xml:space="preserve">F-A31496    </t>
  </si>
  <si>
    <t xml:space="preserve">F-A31497    </t>
  </si>
  <si>
    <t xml:space="preserve">F-A31498    </t>
  </si>
  <si>
    <t>AUTOTRANSPORTES DEL REAL</t>
  </si>
  <si>
    <t>A-434</t>
  </si>
  <si>
    <t>FLETES</t>
  </si>
  <si>
    <t>ELOY BASALDUA ORTEGA</t>
  </si>
  <si>
    <t>B-186</t>
  </si>
  <si>
    <t>TEMM TRUCK</t>
  </si>
  <si>
    <t>T-230</t>
  </si>
  <si>
    <t>JACOBO GONZALES FRAGOSO</t>
  </si>
  <si>
    <t>G-481</t>
  </si>
  <si>
    <t>RAUL DAVILA PALOMINO</t>
  </si>
  <si>
    <t>D-227</t>
  </si>
  <si>
    <t>SERVICIOS INTEGRALES DE LOGISTICA NURIB</t>
  </si>
  <si>
    <t>S-421</t>
  </si>
  <si>
    <t>TRANSPORTES MARQUEZ DE TEPOTZOTLAN</t>
  </si>
  <si>
    <t>T-237</t>
  </si>
  <si>
    <t>ENLANCES TERRESTRE RAFAGA</t>
  </si>
  <si>
    <t>E-246</t>
  </si>
  <si>
    <t>MANUEL MARCELINO HERNANDEZ GARRIDO</t>
  </si>
  <si>
    <t>H-165</t>
  </si>
  <si>
    <t>SERVICIO TERRESTRE NACIONAL</t>
  </si>
  <si>
    <t>S-425</t>
  </si>
  <si>
    <t>JUANA SANCHEZ SANCHEZ</t>
  </si>
  <si>
    <t>S-409</t>
  </si>
  <si>
    <t>COLOSOS TRANSPORTES</t>
  </si>
  <si>
    <t>C-600</t>
  </si>
  <si>
    <t>RIGOBERTO ARREOLA RUBIO</t>
  </si>
  <si>
    <t>A-420</t>
  </si>
  <si>
    <t>NA</t>
  </si>
  <si>
    <t>LINEA</t>
  </si>
  <si>
    <t>CODIGO</t>
  </si>
  <si>
    <t>RET</t>
  </si>
  <si>
    <t>FACTURA SIN F-</t>
  </si>
  <si>
    <t>I-107CDJUA</t>
  </si>
  <si>
    <t>I-107GUA</t>
  </si>
  <si>
    <t>I-107IXTAC</t>
  </si>
  <si>
    <t>I-107MOCH</t>
  </si>
  <si>
    <t>I-107MTY</t>
  </si>
  <si>
    <t>I-107PUE</t>
  </si>
  <si>
    <t>I-107SIL</t>
  </si>
  <si>
    <t>I-107SNJI</t>
  </si>
  <si>
    <t>I-107TOL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</si>
</sst>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[$-C0A]dd\-mmm\-yy;@"/>
    <numFmt numFmtId="171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sz val="11"/>
      <color rgb="FF00B050"/>
      <name val="Arial"/>
      <family val="2"/>
    </font>
    <font>
      <sz val="11"/>
      <color rgb="FFFF0000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/>
    <xf numFmtId="165" fontId="8" fillId="0" borderId="0"/>
  </cellStyleXfs>
  <cellXfs count="69">
    <xf numFmtId="0" fontId="0" fillId="0" borderId="0" xfId="0"/>
    <xf numFmtId="0" fontId="0" fillId="2" borderId="0" xfId="0" applyFill="1"/>
    <xf numFmtId="44" fontId="0" fillId="2" borderId="0" xfId="2" applyFont="1" applyFill="1"/>
    <xf numFmtId="0" fontId="0" fillId="2" borderId="0" xfId="0" applyFill="1" applyAlignment="1">
      <alignment horizontal="center"/>
    </xf>
    <xf numFmtId="43" fontId="0" fillId="2" borderId="0" xfId="1" applyFont="1" applyFill="1"/>
    <xf numFmtId="164" fontId="0" fillId="2" borderId="0" xfId="2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2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65" fontId="4" fillId="2" borderId="2" xfId="3" applyFont="1" applyFill="1" applyBorder="1" applyAlignment="1">
      <alignment horizontal="center" vertical="center"/>
    </xf>
    <xf numFmtId="1" fontId="4" fillId="2" borderId="2" xfId="3" applyNumberFormat="1" applyFont="1" applyFill="1" applyBorder="1" applyAlignment="1">
      <alignment horizontal="left" vertical="center"/>
    </xf>
    <xf numFmtId="165" fontId="4" fillId="2" borderId="2" xfId="3" applyFont="1" applyFill="1" applyBorder="1" applyAlignment="1">
      <alignment horizontal="center" vertical="center" wrapText="1"/>
    </xf>
    <xf numFmtId="44" fontId="4" fillId="2" borderId="2" xfId="2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/>
    </xf>
    <xf numFmtId="44" fontId="4" fillId="2" borderId="2" xfId="2" applyFont="1" applyFill="1" applyBorder="1" applyAlignment="1">
      <alignment vertical="center"/>
    </xf>
    <xf numFmtId="44" fontId="4" fillId="2" borderId="3" xfId="2" applyFont="1" applyFill="1" applyBorder="1" applyAlignment="1">
      <alignment horizontal="left" vertical="center"/>
    </xf>
    <xf numFmtId="165" fontId="5" fillId="2" borderId="2" xfId="3" applyFont="1" applyFill="1" applyBorder="1" applyAlignment="1">
      <alignment horizontal="center" vertical="center" wrapText="1"/>
    </xf>
    <xf numFmtId="165" fontId="4" fillId="2" borderId="2" xfId="3" applyFont="1" applyFill="1" applyBorder="1" applyAlignment="1">
      <alignment horizontal="left" vertical="center" wrapText="1"/>
    </xf>
    <xf numFmtId="0" fontId="7" fillId="2" borderId="0" xfId="0" applyFont="1" applyFill="1"/>
    <xf numFmtId="0" fontId="4" fillId="2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65" fontId="4" fillId="2" borderId="4" xfId="3" applyFont="1" applyFill="1" applyBorder="1" applyAlignment="1">
      <alignment horizontal="center" vertical="center"/>
    </xf>
    <xf numFmtId="1" fontId="4" fillId="2" borderId="4" xfId="3" applyNumberFormat="1" applyFont="1" applyFill="1" applyBorder="1" applyAlignment="1">
      <alignment horizontal="left" vertical="center"/>
    </xf>
    <xf numFmtId="165" fontId="4" fillId="2" borderId="4" xfId="3" applyFont="1" applyFill="1" applyBorder="1" applyAlignment="1">
      <alignment horizontal="center" vertical="center" wrapText="1"/>
    </xf>
    <xf numFmtId="43" fontId="4" fillId="2" borderId="4" xfId="1" applyFont="1" applyFill="1" applyBorder="1" applyAlignment="1">
      <alignment horizontal="left" vertical="center"/>
    </xf>
    <xf numFmtId="44" fontId="4" fillId="2" borderId="4" xfId="2" applyFont="1" applyFill="1" applyBorder="1" applyAlignment="1">
      <alignment vertical="center"/>
    </xf>
    <xf numFmtId="44" fontId="6" fillId="2" borderId="2" xfId="2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44" fontId="4" fillId="3" borderId="2" xfId="2" applyFont="1" applyFill="1" applyBorder="1" applyAlignment="1">
      <alignment vertical="center"/>
    </xf>
    <xf numFmtId="43" fontId="4" fillId="3" borderId="2" xfId="1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8" fontId="4" fillId="3" borderId="3" xfId="0" applyNumberFormat="1" applyFont="1" applyFill="1" applyBorder="1" applyAlignment="1">
      <alignment horizontal="left" vertical="center"/>
    </xf>
    <xf numFmtId="0" fontId="4" fillId="2" borderId="2" xfId="3" applyNumberFormat="1" applyFont="1" applyFill="1" applyBorder="1" applyAlignment="1">
      <alignment horizontal="center" vertical="center" wrapText="1"/>
    </xf>
    <xf numFmtId="44" fontId="4" fillId="2" borderId="2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65" fontId="4" fillId="2" borderId="2" xfId="3" applyFont="1" applyFill="1" applyBorder="1" applyAlignment="1">
      <alignment vertical="center" wrapText="1"/>
    </xf>
    <xf numFmtId="165" fontId="4" fillId="2" borderId="4" xfId="3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left"/>
    </xf>
    <xf numFmtId="165" fontId="4" fillId="2" borderId="4" xfId="3" applyFont="1" applyFill="1" applyBorder="1" applyAlignment="1">
      <alignment horizontal="left" vertical="center" wrapText="1"/>
    </xf>
    <xf numFmtId="0" fontId="0" fillId="2" borderId="6" xfId="0" applyFill="1" applyBorder="1"/>
    <xf numFmtId="0" fontId="2" fillId="2" borderId="0" xfId="0" applyFont="1" applyFill="1"/>
    <xf numFmtId="164" fontId="7" fillId="2" borderId="0" xfId="2" applyNumberFormat="1" applyFont="1" applyFill="1"/>
    <xf numFmtId="164" fontId="0" fillId="2" borderId="6" xfId="2" applyNumberFormat="1" applyFont="1" applyFill="1" applyBorder="1"/>
    <xf numFmtId="0" fontId="8" fillId="2" borderId="0" xfId="4" applyNumberFormat="1" applyFill="1" applyBorder="1" applyAlignment="1">
      <alignment horizontal="center"/>
    </xf>
    <xf numFmtId="0" fontId="8" fillId="2" borderId="0" xfId="4" applyNumberFormat="1" applyFill="1" applyBorder="1"/>
    <xf numFmtId="164" fontId="8" fillId="2" borderId="0" xfId="2" applyNumberFormat="1" applyFont="1" applyFill="1" applyBorder="1"/>
    <xf numFmtId="0" fontId="8" fillId="2" borderId="0" xfId="4" applyNumberFormat="1" applyFill="1" applyBorder="1" applyAlignment="1">
      <alignment wrapText="1"/>
    </xf>
    <xf numFmtId="0" fontId="0" fillId="2" borderId="0" xfId="0" applyFill="1" applyBorder="1"/>
    <xf numFmtId="164" fontId="0" fillId="2" borderId="0" xfId="2" applyNumberFormat="1" applyFont="1" applyFill="1" applyBorder="1"/>
    <xf numFmtId="0" fontId="2" fillId="2" borderId="0" xfId="0" applyFont="1" applyFill="1" applyAlignment="1">
      <alignment horizontal="center"/>
    </xf>
    <xf numFmtId="171" fontId="4" fillId="2" borderId="2" xfId="3" applyNumberFormat="1" applyFont="1" applyFill="1" applyBorder="1" applyAlignment="1">
      <alignment horizontal="center" vertical="center"/>
    </xf>
    <xf numFmtId="171" fontId="4" fillId="2" borderId="4" xfId="3" applyNumberFormat="1" applyFont="1" applyFill="1" applyBorder="1" applyAlignment="1">
      <alignment horizontal="center" vertical="center"/>
    </xf>
    <xf numFmtId="171" fontId="4" fillId="3" borderId="2" xfId="0" applyNumberFormat="1" applyFont="1" applyFill="1" applyBorder="1" applyAlignment="1">
      <alignment horizontal="center" vertical="center"/>
    </xf>
    <xf numFmtId="171" fontId="4" fillId="2" borderId="2" xfId="0" applyNumberFormat="1" applyFont="1" applyFill="1" applyBorder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Normal 2" xfId="4" xr:uid="{1E4F20B1-2138-47F9-AF05-FCC349CD81A2}"/>
    <cellStyle name="Normal 2 3" xfId="3" xr:uid="{8E08DA7C-B56D-4F7B-9C23-E2BC0713A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86AE-5DB9-435C-991B-31E714DB9D6D}">
  <dimension ref="A1:Y235"/>
  <sheetViews>
    <sheetView tabSelected="1" zoomScale="130" zoomScaleNormal="130" workbookViewId="0">
      <pane ySplit="2" topLeftCell="A92" activePane="bottomLeft" state="frozen"/>
      <selection pane="bottomLeft" activeCell="E93" sqref="E93:E233"/>
    </sheetView>
  </sheetViews>
  <sheetFormatPr baseColWidth="10" defaultColWidth="10.85546875" defaultRowHeight="15" x14ac:dyDescent="0.25"/>
  <cols>
    <col min="1" max="1" width="5.42578125" style="1" customWidth="1"/>
    <col min="2" max="2" width="16.5703125" style="1" bestFit="1" customWidth="1"/>
    <col min="3" max="3" width="21.28515625" style="1" bestFit="1" customWidth="1"/>
    <col min="4" max="4" width="17.42578125" style="1" bestFit="1" customWidth="1"/>
    <col min="5" max="5" width="16.28515625" style="1" bestFit="1" customWidth="1"/>
    <col min="6" max="6" width="19.140625" style="1" customWidth="1"/>
    <col min="7" max="7" width="19.85546875" style="1" customWidth="1"/>
    <col min="8" max="8" width="19" style="1" bestFit="1" customWidth="1"/>
    <col min="9" max="9" width="19.7109375" style="1" bestFit="1" customWidth="1"/>
    <col min="10" max="10" width="15.28515625" style="2" bestFit="1" customWidth="1"/>
    <col min="11" max="11" width="16" style="2" bestFit="1" customWidth="1"/>
    <col min="12" max="12" width="15.7109375" style="3" customWidth="1"/>
    <col min="13" max="13" width="47.42578125" style="46" customWidth="1"/>
    <col min="14" max="14" width="18" style="52" customWidth="1"/>
    <col min="15" max="15" width="13.85546875" style="1" bestFit="1" customWidth="1"/>
    <col min="16" max="16" width="13.7109375" style="4" bestFit="1" customWidth="1"/>
    <col min="17" max="17" width="14.42578125" style="2" bestFit="1" customWidth="1"/>
    <col min="18" max="18" width="16" style="2" bestFit="1" customWidth="1"/>
    <col min="19" max="19" width="10.85546875" style="1"/>
    <col min="20" max="20" width="29.7109375" style="1" bestFit="1" customWidth="1"/>
    <col min="21" max="21" width="10.85546875" style="1"/>
    <col min="22" max="22" width="11.5703125" style="5" bestFit="1" customWidth="1"/>
    <col min="23" max="24" width="11" style="5" bestFit="1" customWidth="1"/>
    <col min="25" max="25" width="11.5703125" style="5" bestFit="1" customWidth="1"/>
    <col min="26" max="16384" width="10.85546875" style="1"/>
  </cols>
  <sheetData>
    <row r="1" spans="1:25" ht="15" customHeight="1" thickBot="1" x14ac:dyDescent="0.3">
      <c r="S1" s="64" t="s">
        <v>800</v>
      </c>
      <c r="T1" s="64"/>
      <c r="U1" s="64"/>
      <c r="V1" s="64"/>
      <c r="W1" s="64"/>
      <c r="X1" s="64"/>
      <c r="Y1" s="64"/>
    </row>
    <row r="2" spans="1:25" ht="23.25" thickBot="1" x14ac:dyDescent="0.3">
      <c r="B2" s="6" t="s">
        <v>0</v>
      </c>
      <c r="C2" s="6" t="s">
        <v>1</v>
      </c>
      <c r="D2" s="7" t="s">
        <v>2</v>
      </c>
      <c r="E2" s="6" t="s">
        <v>3</v>
      </c>
      <c r="F2" s="8" t="s">
        <v>4</v>
      </c>
      <c r="G2" s="8" t="s">
        <v>829</v>
      </c>
      <c r="H2" s="6" t="s">
        <v>5</v>
      </c>
      <c r="I2" s="6" t="s">
        <v>6</v>
      </c>
      <c r="J2" s="9" t="s">
        <v>7</v>
      </c>
      <c r="K2" s="9" t="s">
        <v>8</v>
      </c>
      <c r="L2" s="6" t="s">
        <v>9</v>
      </c>
      <c r="M2" s="47" t="s">
        <v>10</v>
      </c>
      <c r="N2" s="8" t="s">
        <v>11</v>
      </c>
      <c r="O2" s="6" t="s">
        <v>12</v>
      </c>
      <c r="P2" s="10" t="s">
        <v>13</v>
      </c>
      <c r="Q2" s="9" t="s">
        <v>765</v>
      </c>
      <c r="R2" s="9" t="s">
        <v>8</v>
      </c>
      <c r="S2" s="1" t="s">
        <v>9</v>
      </c>
      <c r="T2" s="1" t="s">
        <v>826</v>
      </c>
      <c r="U2" s="1" t="s">
        <v>827</v>
      </c>
      <c r="V2" s="5" t="s">
        <v>14</v>
      </c>
      <c r="W2" s="5" t="s">
        <v>15</v>
      </c>
      <c r="X2" s="5" t="s">
        <v>828</v>
      </c>
      <c r="Y2" s="5" t="s">
        <v>16</v>
      </c>
    </row>
    <row r="3" spans="1:25" ht="15" customHeight="1" x14ac:dyDescent="0.25">
      <c r="A3" s="20" t="s">
        <v>21</v>
      </c>
      <c r="B3" s="11" t="s">
        <v>17</v>
      </c>
      <c r="C3" s="11" t="s">
        <v>832</v>
      </c>
      <c r="D3" s="12" t="s">
        <v>301</v>
      </c>
      <c r="E3" s="65">
        <v>45864</v>
      </c>
      <c r="F3" s="14" t="s">
        <v>302</v>
      </c>
      <c r="G3" s="14"/>
      <c r="H3" s="13">
        <v>45883</v>
      </c>
      <c r="I3" s="15" t="s">
        <v>109</v>
      </c>
      <c r="J3" s="16">
        <v>3.6</v>
      </c>
      <c r="K3" s="16">
        <f>+J3*P3</f>
        <v>77760</v>
      </c>
      <c r="L3" s="15"/>
      <c r="M3" s="48" t="s">
        <v>135</v>
      </c>
      <c r="N3" s="21" t="s">
        <v>136</v>
      </c>
      <c r="O3" s="15" t="s">
        <v>303</v>
      </c>
      <c r="P3" s="17">
        <v>21600</v>
      </c>
      <c r="Q3" s="18">
        <v>5.3</v>
      </c>
      <c r="R3" s="19">
        <f t="shared" ref="R3:R34" si="0">+P3*Q3</f>
        <v>114480</v>
      </c>
      <c r="S3" s="22">
        <v>1020</v>
      </c>
      <c r="T3" s="22" t="s">
        <v>805</v>
      </c>
      <c r="U3" s="22" t="s">
        <v>806</v>
      </c>
      <c r="V3" s="56">
        <v>14350</v>
      </c>
      <c r="W3" s="56">
        <v>2296</v>
      </c>
      <c r="X3" s="56">
        <v>574</v>
      </c>
      <c r="Y3" s="56">
        <v>16072</v>
      </c>
    </row>
    <row r="4" spans="1:25" ht="15" customHeight="1" x14ac:dyDescent="0.25">
      <c r="A4" s="20" t="s">
        <v>21</v>
      </c>
      <c r="B4" s="11" t="s">
        <v>17</v>
      </c>
      <c r="C4" s="11" t="s">
        <v>833</v>
      </c>
      <c r="D4" s="12">
        <v>20765</v>
      </c>
      <c r="E4" s="65">
        <v>45867</v>
      </c>
      <c r="F4" s="14" t="s">
        <v>108</v>
      </c>
      <c r="G4" s="14"/>
      <c r="H4" s="13">
        <v>45874</v>
      </c>
      <c r="I4" s="15" t="s">
        <v>109</v>
      </c>
      <c r="J4" s="16">
        <v>3.2</v>
      </c>
      <c r="K4" s="16">
        <f>+J4*P4</f>
        <v>84160</v>
      </c>
      <c r="L4" s="15"/>
      <c r="M4" s="48" t="s">
        <v>110</v>
      </c>
      <c r="N4" s="21" t="s">
        <v>111</v>
      </c>
      <c r="O4" s="15" t="s">
        <v>112</v>
      </c>
      <c r="P4" s="17">
        <v>26300</v>
      </c>
      <c r="Q4" s="18">
        <v>5.3</v>
      </c>
      <c r="R4" s="19">
        <f t="shared" si="0"/>
        <v>139390</v>
      </c>
      <c r="S4" s="1">
        <v>19826</v>
      </c>
      <c r="T4" s="1" t="s">
        <v>807</v>
      </c>
      <c r="U4" s="1" t="s">
        <v>808</v>
      </c>
      <c r="V4" s="5">
        <v>50759</v>
      </c>
      <c r="W4" s="5">
        <v>8121.4400000000005</v>
      </c>
      <c r="X4" s="5">
        <v>2030.3600000000001</v>
      </c>
      <c r="Y4" s="5">
        <v>56850.080000000002</v>
      </c>
    </row>
    <row r="5" spans="1:25" ht="15" customHeight="1" x14ac:dyDescent="0.25">
      <c r="A5" s="20" t="s">
        <v>21</v>
      </c>
      <c r="B5" s="11" t="s">
        <v>17</v>
      </c>
      <c r="C5" s="11" t="s">
        <v>838</v>
      </c>
      <c r="D5" s="12">
        <v>114388</v>
      </c>
      <c r="E5" s="65">
        <v>45867</v>
      </c>
      <c r="F5" s="14" t="s">
        <v>126</v>
      </c>
      <c r="G5" s="14"/>
      <c r="H5" s="13">
        <v>45876</v>
      </c>
      <c r="I5" s="15" t="s">
        <v>127</v>
      </c>
      <c r="J5" s="16">
        <v>3.6</v>
      </c>
      <c r="K5" s="16">
        <f>+J5*P5</f>
        <v>76284</v>
      </c>
      <c r="L5" s="15"/>
      <c r="M5" s="48" t="s">
        <v>81</v>
      </c>
      <c r="N5" s="21" t="s">
        <v>82</v>
      </c>
      <c r="O5" s="15" t="s">
        <v>128</v>
      </c>
      <c r="P5" s="17">
        <v>21190</v>
      </c>
      <c r="Q5" s="18">
        <v>3.8</v>
      </c>
      <c r="R5" s="19">
        <f t="shared" si="0"/>
        <v>80522</v>
      </c>
      <c r="S5" s="1" t="s">
        <v>129</v>
      </c>
    </row>
    <row r="6" spans="1:25" ht="15" customHeight="1" x14ac:dyDescent="0.25">
      <c r="A6" s="20" t="s">
        <v>21</v>
      </c>
      <c r="B6" s="11" t="s">
        <v>17</v>
      </c>
      <c r="C6" s="11" t="s">
        <v>833</v>
      </c>
      <c r="D6" s="12">
        <v>20766</v>
      </c>
      <c r="E6" s="65">
        <v>45868</v>
      </c>
      <c r="F6" s="14" t="s">
        <v>204</v>
      </c>
      <c r="G6" s="14"/>
      <c r="H6" s="13">
        <v>45881</v>
      </c>
      <c r="I6" s="15" t="s">
        <v>109</v>
      </c>
      <c r="J6" s="16">
        <v>3.2</v>
      </c>
      <c r="K6" s="16">
        <f>+J6*P6</f>
        <v>81856</v>
      </c>
      <c r="L6" s="15"/>
      <c r="M6" s="48" t="s">
        <v>110</v>
      </c>
      <c r="N6" s="21" t="s">
        <v>111</v>
      </c>
      <c r="O6" s="15" t="s">
        <v>205</v>
      </c>
      <c r="P6" s="17">
        <v>25580</v>
      </c>
      <c r="Q6" s="18">
        <v>5.3</v>
      </c>
      <c r="R6" s="19">
        <f t="shared" si="0"/>
        <v>135574</v>
      </c>
      <c r="S6" s="1">
        <v>21887</v>
      </c>
      <c r="T6" s="1" t="s">
        <v>811</v>
      </c>
      <c r="U6" s="1" t="s">
        <v>812</v>
      </c>
      <c r="V6" s="5">
        <v>49369.4</v>
      </c>
      <c r="W6" s="5">
        <v>7899.1040000000003</v>
      </c>
      <c r="X6" s="5">
        <v>1974.7760000000001</v>
      </c>
      <c r="Y6" s="5">
        <v>55293.728000000003</v>
      </c>
    </row>
    <row r="7" spans="1:25" ht="15" customHeight="1" x14ac:dyDescent="0.25">
      <c r="A7" s="20" t="s">
        <v>21</v>
      </c>
      <c r="B7" s="11" t="s">
        <v>17</v>
      </c>
      <c r="C7" s="11" t="s">
        <v>838</v>
      </c>
      <c r="D7" s="12">
        <v>114392</v>
      </c>
      <c r="E7" s="65">
        <v>45868</v>
      </c>
      <c r="F7" s="14" t="s">
        <v>80</v>
      </c>
      <c r="G7" s="14"/>
      <c r="H7" s="13">
        <v>45874</v>
      </c>
      <c r="I7" s="15" t="s">
        <v>30</v>
      </c>
      <c r="J7" s="16">
        <v>3.6</v>
      </c>
      <c r="K7" s="16">
        <f>+J7*P7</f>
        <v>62172</v>
      </c>
      <c r="L7" s="15"/>
      <c r="M7" s="48" t="s">
        <v>81</v>
      </c>
      <c r="N7" s="21" t="s">
        <v>82</v>
      </c>
      <c r="O7" s="15" t="s">
        <v>83</v>
      </c>
      <c r="P7" s="17">
        <v>17270</v>
      </c>
      <c r="Q7" s="18">
        <v>5.37</v>
      </c>
      <c r="R7" s="19">
        <f t="shared" si="0"/>
        <v>92739.900000000009</v>
      </c>
      <c r="S7" s="1">
        <v>8696</v>
      </c>
      <c r="T7" s="1" t="s">
        <v>823</v>
      </c>
      <c r="U7" s="1" t="s">
        <v>824</v>
      </c>
      <c r="V7" s="5">
        <v>7505</v>
      </c>
      <c r="W7" s="5">
        <v>1200.8</v>
      </c>
      <c r="X7" s="5">
        <v>300.2</v>
      </c>
      <c r="Y7" s="5">
        <v>8405.5999999999985</v>
      </c>
    </row>
    <row r="8" spans="1:25" ht="15" customHeight="1" x14ac:dyDescent="0.25">
      <c r="A8" s="20" t="s">
        <v>21</v>
      </c>
      <c r="B8" s="11" t="s">
        <v>17</v>
      </c>
      <c r="C8" s="11" t="s">
        <v>838</v>
      </c>
      <c r="D8" s="12">
        <v>114393</v>
      </c>
      <c r="E8" s="65">
        <v>45868</v>
      </c>
      <c r="F8" s="14" t="s">
        <v>84</v>
      </c>
      <c r="G8" s="14"/>
      <c r="H8" s="13">
        <v>45874</v>
      </c>
      <c r="I8" s="15" t="s">
        <v>30</v>
      </c>
      <c r="J8" s="16">
        <v>3.6</v>
      </c>
      <c r="K8" s="16">
        <f>+J8*P8</f>
        <v>61200</v>
      </c>
      <c r="L8" s="15"/>
      <c r="M8" s="48" t="s">
        <v>81</v>
      </c>
      <c r="N8" s="21" t="s">
        <v>82</v>
      </c>
      <c r="O8" s="15" t="s">
        <v>85</v>
      </c>
      <c r="P8" s="17">
        <v>17000</v>
      </c>
      <c r="Q8" s="18">
        <v>5.37</v>
      </c>
      <c r="R8" s="19">
        <f t="shared" si="0"/>
        <v>91290</v>
      </c>
      <c r="S8" s="1">
        <v>8697</v>
      </c>
      <c r="T8" s="1" t="s">
        <v>823</v>
      </c>
      <c r="U8" s="1" t="s">
        <v>824</v>
      </c>
      <c r="V8" s="5">
        <v>7505</v>
      </c>
      <c r="W8" s="5">
        <v>1200.8</v>
      </c>
      <c r="X8" s="5">
        <v>300.2</v>
      </c>
      <c r="Y8" s="5">
        <v>8405.5999999999985</v>
      </c>
    </row>
    <row r="9" spans="1:25" ht="15" customHeight="1" x14ac:dyDescent="0.25">
      <c r="A9" s="20" t="s">
        <v>21</v>
      </c>
      <c r="B9" s="11" t="s">
        <v>17</v>
      </c>
      <c r="C9" s="11" t="s">
        <v>830</v>
      </c>
      <c r="D9" s="12">
        <v>1487</v>
      </c>
      <c r="E9" s="65">
        <v>45869</v>
      </c>
      <c r="F9" s="14" t="s">
        <v>104</v>
      </c>
      <c r="G9" s="14"/>
      <c r="H9" s="13">
        <v>45874</v>
      </c>
      <c r="I9" s="15" t="s">
        <v>30</v>
      </c>
      <c r="J9" s="16">
        <v>3.2</v>
      </c>
      <c r="K9" s="16">
        <f>+J9*P9</f>
        <v>82790.400000000009</v>
      </c>
      <c r="L9" s="15"/>
      <c r="M9" s="48" t="s">
        <v>105</v>
      </c>
      <c r="N9" s="21" t="s">
        <v>106</v>
      </c>
      <c r="O9" s="15" t="s">
        <v>107</v>
      </c>
      <c r="P9" s="17">
        <v>25872</v>
      </c>
      <c r="Q9" s="18">
        <v>5.58</v>
      </c>
      <c r="R9" s="19">
        <f t="shared" si="0"/>
        <v>144365.76000000001</v>
      </c>
      <c r="S9" s="58">
        <v>26677</v>
      </c>
      <c r="T9" s="59" t="s">
        <v>798</v>
      </c>
      <c r="U9" s="59" t="s">
        <v>799</v>
      </c>
      <c r="V9" s="60">
        <v>49415.519999999997</v>
      </c>
      <c r="W9" s="60">
        <v>7906.4831999999997</v>
      </c>
      <c r="X9" s="60">
        <v>1976.6207999999999</v>
      </c>
      <c r="Y9" s="60">
        <v>55345.382400000002</v>
      </c>
    </row>
    <row r="10" spans="1:25" ht="15" customHeight="1" x14ac:dyDescent="0.25">
      <c r="A10" s="20" t="s">
        <v>21</v>
      </c>
      <c r="B10" s="11" t="s">
        <v>17</v>
      </c>
      <c r="C10" s="11" t="s">
        <v>837</v>
      </c>
      <c r="D10" s="12">
        <v>114335</v>
      </c>
      <c r="E10" s="65">
        <v>45869</v>
      </c>
      <c r="F10" s="14" t="s">
        <v>47</v>
      </c>
      <c r="G10" s="14"/>
      <c r="H10" s="13">
        <v>45874</v>
      </c>
      <c r="I10" s="15" t="s">
        <v>30</v>
      </c>
      <c r="J10" s="16">
        <v>3.6</v>
      </c>
      <c r="K10" s="16">
        <f>+J10*P10</f>
        <v>68796</v>
      </c>
      <c r="L10" s="15"/>
      <c r="M10" s="48" t="s">
        <v>49</v>
      </c>
      <c r="N10" s="21" t="s">
        <v>50</v>
      </c>
      <c r="O10" s="15" t="s">
        <v>51</v>
      </c>
      <c r="P10" s="17">
        <v>19110</v>
      </c>
      <c r="Q10" s="18">
        <v>4.5999999999999996</v>
      </c>
      <c r="R10" s="19">
        <f t="shared" si="0"/>
        <v>87906</v>
      </c>
      <c r="S10" s="55" t="s">
        <v>129</v>
      </c>
    </row>
    <row r="11" spans="1:25" ht="15" customHeight="1" x14ac:dyDescent="0.25">
      <c r="A11" s="20" t="s">
        <v>21</v>
      </c>
      <c r="B11" s="11" t="s">
        <v>17</v>
      </c>
      <c r="C11" s="11" t="s">
        <v>837</v>
      </c>
      <c r="D11" s="12">
        <v>114336</v>
      </c>
      <c r="E11" s="65">
        <v>45869</v>
      </c>
      <c r="F11" s="14" t="s">
        <v>52</v>
      </c>
      <c r="G11" s="14"/>
      <c r="H11" s="13">
        <v>45874</v>
      </c>
      <c r="I11" s="15" t="s">
        <v>30</v>
      </c>
      <c r="J11" s="16">
        <v>3.6</v>
      </c>
      <c r="K11" s="16">
        <f>+J11*P11</f>
        <v>81756</v>
      </c>
      <c r="L11" s="15"/>
      <c r="M11" s="48" t="s">
        <v>49</v>
      </c>
      <c r="N11" s="21" t="s">
        <v>50</v>
      </c>
      <c r="O11" s="15" t="s">
        <v>53</v>
      </c>
      <c r="P11" s="17">
        <v>22710</v>
      </c>
      <c r="Q11" s="18">
        <v>4.5999999999999996</v>
      </c>
      <c r="R11" s="19">
        <f t="shared" si="0"/>
        <v>104465.99999999999</v>
      </c>
      <c r="S11" s="55" t="s">
        <v>129</v>
      </c>
    </row>
    <row r="12" spans="1:25" ht="15" customHeight="1" x14ac:dyDescent="0.25">
      <c r="A12" s="20" t="s">
        <v>21</v>
      </c>
      <c r="B12" s="11" t="s">
        <v>17</v>
      </c>
      <c r="C12" s="11" t="s">
        <v>837</v>
      </c>
      <c r="D12" s="12">
        <v>114337</v>
      </c>
      <c r="E12" s="65">
        <v>45869</v>
      </c>
      <c r="F12" s="14" t="s">
        <v>66</v>
      </c>
      <c r="G12" s="14"/>
      <c r="H12" s="13">
        <v>45874</v>
      </c>
      <c r="I12" s="15" t="s">
        <v>67</v>
      </c>
      <c r="J12" s="16">
        <v>1</v>
      </c>
      <c r="K12" s="16">
        <f>+J12*P12</f>
        <v>6600</v>
      </c>
      <c r="L12" s="15"/>
      <c r="M12" s="48" t="s">
        <v>49</v>
      </c>
      <c r="N12" s="21" t="s">
        <v>50</v>
      </c>
      <c r="O12" s="15" t="s">
        <v>68</v>
      </c>
      <c r="P12" s="17">
        <v>6600</v>
      </c>
      <c r="Q12" s="18">
        <v>1.2</v>
      </c>
      <c r="R12" s="19">
        <f t="shared" si="0"/>
        <v>7920</v>
      </c>
      <c r="S12" s="55" t="s">
        <v>129</v>
      </c>
    </row>
    <row r="13" spans="1:25" ht="15" customHeight="1" x14ac:dyDescent="0.25">
      <c r="A13" s="20" t="s">
        <v>21</v>
      </c>
      <c r="B13" s="11" t="s">
        <v>17</v>
      </c>
      <c r="C13" s="11" t="s">
        <v>838</v>
      </c>
      <c r="D13" s="12">
        <v>114398</v>
      </c>
      <c r="E13" s="65">
        <v>45869</v>
      </c>
      <c r="F13" s="14" t="s">
        <v>86</v>
      </c>
      <c r="G13" s="14"/>
      <c r="H13" s="13">
        <v>45874</v>
      </c>
      <c r="I13" s="15" t="s">
        <v>30</v>
      </c>
      <c r="J13" s="16">
        <v>1</v>
      </c>
      <c r="K13" s="16">
        <f>+J13*P13</f>
        <v>8980</v>
      </c>
      <c r="L13" s="15" t="s">
        <v>87</v>
      </c>
      <c r="M13" s="48" t="s">
        <v>81</v>
      </c>
      <c r="N13" s="21" t="s">
        <v>82</v>
      </c>
      <c r="O13" s="15" t="s">
        <v>88</v>
      </c>
      <c r="P13" s="17">
        <v>8980</v>
      </c>
      <c r="Q13" s="18">
        <v>5.37</v>
      </c>
      <c r="R13" s="19">
        <f t="shared" si="0"/>
        <v>48222.6</v>
      </c>
      <c r="S13" s="1">
        <v>8699</v>
      </c>
      <c r="T13" s="1" t="s">
        <v>823</v>
      </c>
      <c r="U13" s="1" t="s">
        <v>824</v>
      </c>
      <c r="V13" s="5">
        <v>7505</v>
      </c>
      <c r="W13" s="5">
        <v>1200.8</v>
      </c>
      <c r="X13" s="5">
        <v>300.2</v>
      </c>
      <c r="Y13" s="5">
        <v>8405.5999999999985</v>
      </c>
    </row>
    <row r="14" spans="1:25" ht="15" customHeight="1" x14ac:dyDescent="0.25">
      <c r="A14" s="20" t="s">
        <v>21</v>
      </c>
      <c r="B14" s="11" t="s">
        <v>17</v>
      </c>
      <c r="C14" s="11" t="s">
        <v>838</v>
      </c>
      <c r="D14" s="12">
        <v>114400</v>
      </c>
      <c r="E14" s="65">
        <v>45869</v>
      </c>
      <c r="F14" s="14" t="s">
        <v>89</v>
      </c>
      <c r="G14" s="14"/>
      <c r="H14" s="13">
        <v>45874</v>
      </c>
      <c r="I14" s="15" t="s">
        <v>30</v>
      </c>
      <c r="J14" s="16">
        <v>1</v>
      </c>
      <c r="K14" s="16">
        <f>+J14*P14</f>
        <v>8490</v>
      </c>
      <c r="L14" s="15" t="s">
        <v>90</v>
      </c>
      <c r="M14" s="48" t="s">
        <v>81</v>
      </c>
      <c r="N14" s="21" t="s">
        <v>82</v>
      </c>
      <c r="O14" s="15" t="s">
        <v>91</v>
      </c>
      <c r="P14" s="17">
        <v>8490</v>
      </c>
      <c r="Q14" s="18">
        <v>5.37</v>
      </c>
      <c r="R14" s="19">
        <f t="shared" si="0"/>
        <v>45591.3</v>
      </c>
      <c r="S14" s="1">
        <v>8698</v>
      </c>
      <c r="T14" s="1" t="s">
        <v>823</v>
      </c>
      <c r="U14" s="1" t="s">
        <v>824</v>
      </c>
      <c r="V14" s="5">
        <v>7505</v>
      </c>
      <c r="W14" s="5">
        <v>1200.8</v>
      </c>
      <c r="X14" s="5">
        <v>300.2</v>
      </c>
      <c r="Y14" s="5">
        <v>8405.5999999999985</v>
      </c>
    </row>
    <row r="15" spans="1:25" ht="15" customHeight="1" x14ac:dyDescent="0.25">
      <c r="A15" s="20" t="s">
        <v>21</v>
      </c>
      <c r="B15" s="11" t="s">
        <v>17</v>
      </c>
      <c r="C15" s="11" t="s">
        <v>838</v>
      </c>
      <c r="D15" s="12">
        <v>114401</v>
      </c>
      <c r="E15" s="65">
        <v>45869</v>
      </c>
      <c r="F15" s="14" t="s">
        <v>130</v>
      </c>
      <c r="G15" s="14"/>
      <c r="H15" s="13">
        <v>45876</v>
      </c>
      <c r="I15" s="15" t="s">
        <v>127</v>
      </c>
      <c r="J15" s="16">
        <v>3.6</v>
      </c>
      <c r="K15" s="16">
        <f>+J15*P15</f>
        <v>79344</v>
      </c>
      <c r="L15" s="15" t="s">
        <v>131</v>
      </c>
      <c r="M15" s="48" t="s">
        <v>81</v>
      </c>
      <c r="N15" s="21" t="s">
        <v>82</v>
      </c>
      <c r="O15" s="15" t="s">
        <v>132</v>
      </c>
      <c r="P15" s="17">
        <v>22040</v>
      </c>
      <c r="Q15" s="18">
        <v>3.8</v>
      </c>
      <c r="R15" s="19">
        <f t="shared" si="0"/>
        <v>83752</v>
      </c>
      <c r="S15" s="1" t="s">
        <v>129</v>
      </c>
    </row>
    <row r="16" spans="1:25" ht="15" customHeight="1" x14ac:dyDescent="0.25">
      <c r="A16" s="20" t="s">
        <v>21</v>
      </c>
      <c r="B16" s="11" t="s">
        <v>17</v>
      </c>
      <c r="C16" s="11" t="s">
        <v>831</v>
      </c>
      <c r="D16" s="12">
        <v>10136</v>
      </c>
      <c r="E16" s="65">
        <v>45870</v>
      </c>
      <c r="F16" s="14" t="s">
        <v>18</v>
      </c>
      <c r="G16" s="14"/>
      <c r="H16" s="13">
        <v>45874</v>
      </c>
      <c r="I16" s="15" t="s">
        <v>19</v>
      </c>
      <c r="J16" s="16">
        <v>3.6</v>
      </c>
      <c r="K16" s="16">
        <f>+J16*P16</f>
        <v>71373.600000000006</v>
      </c>
      <c r="L16" s="15" t="s">
        <v>20</v>
      </c>
      <c r="M16" s="48" t="s">
        <v>22</v>
      </c>
      <c r="N16" s="21" t="s">
        <v>23</v>
      </c>
      <c r="O16" s="15" t="s">
        <v>24</v>
      </c>
      <c r="P16" s="17">
        <v>19826</v>
      </c>
      <c r="Q16" s="18">
        <v>5.29</v>
      </c>
      <c r="R16" s="19">
        <f t="shared" si="0"/>
        <v>104879.54</v>
      </c>
      <c r="S16" s="1">
        <v>939</v>
      </c>
      <c r="T16" s="1" t="s">
        <v>801</v>
      </c>
      <c r="U16" s="1" t="s">
        <v>802</v>
      </c>
      <c r="V16" s="5">
        <v>15005</v>
      </c>
      <c r="W16" s="5">
        <v>2400.8000000000002</v>
      </c>
      <c r="X16" s="5">
        <v>600.20000000000005</v>
      </c>
      <c r="Y16" s="5">
        <v>16805.599999999999</v>
      </c>
    </row>
    <row r="17" spans="1:25" ht="15" customHeight="1" x14ac:dyDescent="0.25">
      <c r="A17" s="20" t="s">
        <v>21</v>
      </c>
      <c r="B17" s="11" t="s">
        <v>17</v>
      </c>
      <c r="C17" s="11" t="s">
        <v>833</v>
      </c>
      <c r="D17" s="12">
        <v>20773</v>
      </c>
      <c r="E17" s="65">
        <v>45870</v>
      </c>
      <c r="F17" s="14" t="s">
        <v>113</v>
      </c>
      <c r="G17" s="14"/>
      <c r="H17" s="13">
        <v>45874</v>
      </c>
      <c r="I17" s="15" t="s">
        <v>109</v>
      </c>
      <c r="J17" s="16">
        <v>3.2</v>
      </c>
      <c r="K17" s="16">
        <f>+J17*P17</f>
        <v>83296</v>
      </c>
      <c r="L17" s="12" t="s">
        <v>114</v>
      </c>
      <c r="M17" s="48" t="s">
        <v>110</v>
      </c>
      <c r="N17" s="21" t="s">
        <v>111</v>
      </c>
      <c r="O17" s="15" t="s">
        <v>115</v>
      </c>
      <c r="P17" s="17">
        <v>26030</v>
      </c>
      <c r="Q17" s="18">
        <v>5.3</v>
      </c>
      <c r="R17" s="19">
        <f t="shared" si="0"/>
        <v>137959</v>
      </c>
      <c r="S17" s="1">
        <v>5871</v>
      </c>
      <c r="T17" s="1" t="s">
        <v>809</v>
      </c>
      <c r="U17" s="1" t="s">
        <v>810</v>
      </c>
      <c r="V17" s="5">
        <v>50237.9</v>
      </c>
      <c r="W17" s="5">
        <v>8038.0640000000003</v>
      </c>
      <c r="X17" s="5">
        <v>2009.5160000000001</v>
      </c>
      <c r="Y17" s="5">
        <v>56266.447999999997</v>
      </c>
    </row>
    <row r="18" spans="1:25" ht="15" customHeight="1" x14ac:dyDescent="0.25">
      <c r="A18" s="20" t="s">
        <v>21</v>
      </c>
      <c r="B18" s="11" t="s">
        <v>17</v>
      </c>
      <c r="C18" s="11" t="s">
        <v>834</v>
      </c>
      <c r="D18" s="12">
        <v>23708</v>
      </c>
      <c r="E18" s="65">
        <v>45870</v>
      </c>
      <c r="F18" s="14" t="s">
        <v>72</v>
      </c>
      <c r="G18" s="14"/>
      <c r="H18" s="13">
        <v>45874</v>
      </c>
      <c r="I18" s="15" t="s">
        <v>30</v>
      </c>
      <c r="J18" s="16">
        <v>3.6</v>
      </c>
      <c r="K18" s="16">
        <f>+J18*P18</f>
        <v>83772</v>
      </c>
      <c r="L18" s="12"/>
      <c r="M18" s="48" t="s">
        <v>73</v>
      </c>
      <c r="N18" s="21" t="s">
        <v>74</v>
      </c>
      <c r="O18" s="15" t="s">
        <v>75</v>
      </c>
      <c r="P18" s="17">
        <v>23270</v>
      </c>
      <c r="Q18" s="18">
        <v>4.5</v>
      </c>
      <c r="R18" s="19">
        <f t="shared" si="0"/>
        <v>104715</v>
      </c>
      <c r="S18" s="55" t="s">
        <v>129</v>
      </c>
    </row>
    <row r="19" spans="1:25" ht="15" customHeight="1" x14ac:dyDescent="0.25">
      <c r="A19" s="20" t="s">
        <v>21</v>
      </c>
      <c r="B19" s="11" t="s">
        <v>17</v>
      </c>
      <c r="C19" s="11" t="s">
        <v>834</v>
      </c>
      <c r="D19" s="12">
        <v>23709</v>
      </c>
      <c r="E19" s="65">
        <v>45870</v>
      </c>
      <c r="F19" s="14" t="s">
        <v>76</v>
      </c>
      <c r="G19" s="14"/>
      <c r="H19" s="13">
        <v>45874</v>
      </c>
      <c r="I19" s="15" t="s">
        <v>30</v>
      </c>
      <c r="J19" s="16">
        <v>3.6</v>
      </c>
      <c r="K19" s="16">
        <f>+J19*P19</f>
        <v>90576</v>
      </c>
      <c r="L19" s="12"/>
      <c r="M19" s="48" t="s">
        <v>73</v>
      </c>
      <c r="N19" s="21" t="s">
        <v>74</v>
      </c>
      <c r="O19" s="15" t="s">
        <v>77</v>
      </c>
      <c r="P19" s="17">
        <v>25160</v>
      </c>
      <c r="Q19" s="18">
        <v>4.5</v>
      </c>
      <c r="R19" s="19">
        <f t="shared" si="0"/>
        <v>113220</v>
      </c>
      <c r="S19" s="55" t="s">
        <v>129</v>
      </c>
    </row>
    <row r="20" spans="1:25" ht="15" customHeight="1" x14ac:dyDescent="0.25">
      <c r="A20" s="20" t="s">
        <v>21</v>
      </c>
      <c r="B20" s="11" t="s">
        <v>17</v>
      </c>
      <c r="C20" s="11" t="s">
        <v>836</v>
      </c>
      <c r="D20" s="12" t="s">
        <v>28</v>
      </c>
      <c r="E20" s="65">
        <v>45870</v>
      </c>
      <c r="F20" s="14" t="s">
        <v>29</v>
      </c>
      <c r="G20" s="14"/>
      <c r="H20" s="13">
        <v>45874</v>
      </c>
      <c r="I20" s="15" t="s">
        <v>30</v>
      </c>
      <c r="J20" s="16">
        <v>3.6</v>
      </c>
      <c r="K20" s="16">
        <f>+J20*P20</f>
        <v>90036</v>
      </c>
      <c r="L20" s="12" t="s">
        <v>31</v>
      </c>
      <c r="M20" s="48" t="s">
        <v>32</v>
      </c>
      <c r="N20" s="21" t="s">
        <v>33</v>
      </c>
      <c r="O20" s="15" t="s">
        <v>34</v>
      </c>
      <c r="P20" s="17">
        <v>25010</v>
      </c>
      <c r="Q20" s="18">
        <v>5.39</v>
      </c>
      <c r="R20" s="19">
        <f t="shared" si="0"/>
        <v>134803.9</v>
      </c>
      <c r="S20" s="1">
        <v>3392</v>
      </c>
      <c r="T20" s="1" t="s">
        <v>821</v>
      </c>
      <c r="U20" s="1" t="s">
        <v>822</v>
      </c>
      <c r="V20" s="5">
        <v>16506.600000000002</v>
      </c>
      <c r="W20" s="5">
        <v>2641.0560000000005</v>
      </c>
      <c r="X20" s="5">
        <v>660.26400000000012</v>
      </c>
      <c r="Y20" s="5">
        <v>18487.392000000003</v>
      </c>
    </row>
    <row r="21" spans="1:25" ht="15" customHeight="1" x14ac:dyDescent="0.25">
      <c r="A21" s="20" t="s">
        <v>21</v>
      </c>
      <c r="B21" s="11" t="s">
        <v>17</v>
      </c>
      <c r="C21" s="11" t="s">
        <v>837</v>
      </c>
      <c r="D21" s="12">
        <v>114338</v>
      </c>
      <c r="E21" s="65">
        <v>45870</v>
      </c>
      <c r="F21" s="14" t="s">
        <v>54</v>
      </c>
      <c r="G21" s="14"/>
      <c r="H21" s="13">
        <v>45874</v>
      </c>
      <c r="I21" s="15" t="s">
        <v>30</v>
      </c>
      <c r="J21" s="16">
        <v>3.6</v>
      </c>
      <c r="K21" s="16">
        <f>+J21*P21</f>
        <v>81576</v>
      </c>
      <c r="L21" s="12" t="s">
        <v>55</v>
      </c>
      <c r="M21" s="48" t="s">
        <v>49</v>
      </c>
      <c r="N21" s="21" t="s">
        <v>50</v>
      </c>
      <c r="O21" s="15" t="s">
        <v>56</v>
      </c>
      <c r="P21" s="17">
        <v>22660</v>
      </c>
      <c r="Q21" s="18">
        <v>4.5999999999999996</v>
      </c>
      <c r="R21" s="19">
        <f t="shared" si="0"/>
        <v>104235.99999999999</v>
      </c>
      <c r="S21" s="55" t="s">
        <v>129</v>
      </c>
    </row>
    <row r="22" spans="1:25" ht="15" customHeight="1" x14ac:dyDescent="0.25">
      <c r="A22" s="20" t="s">
        <v>21</v>
      </c>
      <c r="B22" s="11" t="s">
        <v>17</v>
      </c>
      <c r="C22" s="11" t="s">
        <v>837</v>
      </c>
      <c r="D22" s="12">
        <v>114340</v>
      </c>
      <c r="E22" s="65">
        <v>45870</v>
      </c>
      <c r="F22" s="14" t="s">
        <v>156</v>
      </c>
      <c r="G22" s="14"/>
      <c r="H22" s="13">
        <v>45877</v>
      </c>
      <c r="I22" s="15" t="s">
        <v>30</v>
      </c>
      <c r="J22" s="16">
        <v>3.6</v>
      </c>
      <c r="K22" s="16">
        <f>+J22*P22</f>
        <v>81756</v>
      </c>
      <c r="L22" s="12" t="s">
        <v>157</v>
      </c>
      <c r="M22" s="48" t="s">
        <v>49</v>
      </c>
      <c r="N22" s="21" t="s">
        <v>50</v>
      </c>
      <c r="O22" s="15" t="s">
        <v>158</v>
      </c>
      <c r="P22" s="17">
        <v>22710</v>
      </c>
      <c r="Q22" s="18">
        <v>4.5999999999999996</v>
      </c>
      <c r="R22" s="19">
        <f t="shared" si="0"/>
        <v>104465.99999999999</v>
      </c>
      <c r="S22" s="55" t="s">
        <v>129</v>
      </c>
    </row>
    <row r="23" spans="1:25" ht="15" customHeight="1" x14ac:dyDescent="0.25">
      <c r="A23" s="20" t="s">
        <v>21</v>
      </c>
      <c r="B23" s="11" t="s">
        <v>17</v>
      </c>
      <c r="C23" s="11" t="s">
        <v>838</v>
      </c>
      <c r="D23" s="12">
        <v>114403</v>
      </c>
      <c r="E23" s="65">
        <v>45870</v>
      </c>
      <c r="F23" s="14" t="s">
        <v>92</v>
      </c>
      <c r="G23" s="14"/>
      <c r="H23" s="13">
        <v>45874</v>
      </c>
      <c r="I23" s="15" t="s">
        <v>30</v>
      </c>
      <c r="J23" s="16">
        <v>1</v>
      </c>
      <c r="K23" s="16">
        <f>+J23*P23</f>
        <v>7310</v>
      </c>
      <c r="L23" s="12" t="s">
        <v>93</v>
      </c>
      <c r="M23" s="48" t="s">
        <v>81</v>
      </c>
      <c r="N23" s="21" t="s">
        <v>82</v>
      </c>
      <c r="O23" s="15" t="s">
        <v>94</v>
      </c>
      <c r="P23" s="17">
        <v>7310</v>
      </c>
      <c r="Q23" s="18">
        <v>5.37</v>
      </c>
      <c r="R23" s="19">
        <f t="shared" si="0"/>
        <v>39254.700000000004</v>
      </c>
      <c r="S23" s="1">
        <v>8660</v>
      </c>
      <c r="T23" s="1" t="s">
        <v>823</v>
      </c>
      <c r="U23" s="1" t="s">
        <v>824</v>
      </c>
      <c r="V23" s="5">
        <v>7505</v>
      </c>
      <c r="W23" s="5">
        <v>1200.8</v>
      </c>
      <c r="X23" s="5">
        <v>300.2</v>
      </c>
      <c r="Y23" s="5">
        <v>8405.5999999999985</v>
      </c>
    </row>
    <row r="24" spans="1:25" ht="15" customHeight="1" x14ac:dyDescent="0.25">
      <c r="A24" s="20" t="s">
        <v>21</v>
      </c>
      <c r="B24" s="11" t="s">
        <v>17</v>
      </c>
      <c r="C24" s="11" t="s">
        <v>833</v>
      </c>
      <c r="D24" s="12">
        <v>20776</v>
      </c>
      <c r="E24" s="65">
        <v>45871</v>
      </c>
      <c r="F24" s="14" t="s">
        <v>116</v>
      </c>
      <c r="G24" s="14"/>
      <c r="H24" s="13">
        <v>45874</v>
      </c>
      <c r="I24" s="15" t="s">
        <v>109</v>
      </c>
      <c r="J24" s="16">
        <v>3.2</v>
      </c>
      <c r="K24" s="16">
        <f>+J24*P24</f>
        <v>82848</v>
      </c>
      <c r="L24" s="12" t="s">
        <v>117</v>
      </c>
      <c r="M24" s="48" t="s">
        <v>110</v>
      </c>
      <c r="N24" s="21" t="s">
        <v>111</v>
      </c>
      <c r="O24" s="15" t="s">
        <v>118</v>
      </c>
      <c r="P24" s="17">
        <v>25890</v>
      </c>
      <c r="Q24" s="18">
        <v>5.3</v>
      </c>
      <c r="R24" s="19">
        <f t="shared" si="0"/>
        <v>137217</v>
      </c>
      <c r="S24" s="1">
        <v>19869</v>
      </c>
      <c r="T24" s="1" t="s">
        <v>807</v>
      </c>
      <c r="U24" s="1" t="s">
        <v>808</v>
      </c>
      <c r="V24" s="5">
        <v>49967.7</v>
      </c>
      <c r="W24" s="5">
        <v>7994.8319999999994</v>
      </c>
      <c r="X24" s="5">
        <v>1998.7079999999999</v>
      </c>
      <c r="Y24" s="5">
        <v>55963.824000000001</v>
      </c>
    </row>
    <row r="25" spans="1:25" ht="15" customHeight="1" x14ac:dyDescent="0.25">
      <c r="A25" s="20" t="s">
        <v>21</v>
      </c>
      <c r="B25" s="11" t="s">
        <v>17</v>
      </c>
      <c r="C25" s="11" t="s">
        <v>833</v>
      </c>
      <c r="D25" s="12">
        <v>20775</v>
      </c>
      <c r="E25" s="65">
        <v>45871</v>
      </c>
      <c r="F25" s="14" t="s">
        <v>206</v>
      </c>
      <c r="G25" s="14"/>
      <c r="H25" s="13">
        <v>45881</v>
      </c>
      <c r="I25" s="15" t="s">
        <v>109</v>
      </c>
      <c r="J25" s="16">
        <v>3.2</v>
      </c>
      <c r="K25" s="16">
        <f>+J25*P25</f>
        <v>79872</v>
      </c>
      <c r="L25" s="12" t="s">
        <v>207</v>
      </c>
      <c r="M25" s="48" t="s">
        <v>110</v>
      </c>
      <c r="N25" s="21" t="s">
        <v>111</v>
      </c>
      <c r="O25" s="15" t="s">
        <v>208</v>
      </c>
      <c r="P25" s="17">
        <v>24960</v>
      </c>
      <c r="Q25" s="18">
        <v>5.3</v>
      </c>
      <c r="R25" s="19">
        <f t="shared" si="0"/>
        <v>132288</v>
      </c>
      <c r="S25" s="1">
        <v>21928</v>
      </c>
      <c r="T25" s="1" t="s">
        <v>811</v>
      </c>
      <c r="U25" s="1" t="s">
        <v>812</v>
      </c>
      <c r="V25" s="5">
        <v>48172.799999999996</v>
      </c>
      <c r="W25" s="5">
        <v>7707.6479999999992</v>
      </c>
      <c r="X25" s="5">
        <v>1926.9119999999998</v>
      </c>
      <c r="Y25" s="5">
        <v>53953.536</v>
      </c>
    </row>
    <row r="26" spans="1:25" ht="15" customHeight="1" x14ac:dyDescent="0.25">
      <c r="A26" s="20" t="s">
        <v>21</v>
      </c>
      <c r="B26" s="11" t="s">
        <v>17</v>
      </c>
      <c r="C26" s="11" t="s">
        <v>834</v>
      </c>
      <c r="D26" s="12">
        <v>23710</v>
      </c>
      <c r="E26" s="65">
        <v>45871</v>
      </c>
      <c r="F26" s="14" t="s">
        <v>78</v>
      </c>
      <c r="G26" s="14"/>
      <c r="H26" s="13">
        <v>45874</v>
      </c>
      <c r="I26" s="15" t="s">
        <v>30</v>
      </c>
      <c r="J26" s="16">
        <v>3.6</v>
      </c>
      <c r="K26" s="16">
        <f>+J26*P26</f>
        <v>84456</v>
      </c>
      <c r="L26" s="12"/>
      <c r="M26" s="48" t="s">
        <v>73</v>
      </c>
      <c r="N26" s="21" t="s">
        <v>74</v>
      </c>
      <c r="O26" s="15" t="s">
        <v>79</v>
      </c>
      <c r="P26" s="17">
        <v>23460</v>
      </c>
      <c r="Q26" s="18">
        <v>4.5</v>
      </c>
      <c r="R26" s="19">
        <f t="shared" si="0"/>
        <v>105570</v>
      </c>
      <c r="S26" s="55" t="s">
        <v>129</v>
      </c>
    </row>
    <row r="27" spans="1:25" ht="15" customHeight="1" x14ac:dyDescent="0.25">
      <c r="A27" s="20" t="s">
        <v>21</v>
      </c>
      <c r="B27" s="11" t="s">
        <v>17</v>
      </c>
      <c r="C27" s="11" t="s">
        <v>836</v>
      </c>
      <c r="D27" s="12" t="s">
        <v>35</v>
      </c>
      <c r="E27" s="65">
        <v>45871</v>
      </c>
      <c r="F27" s="14" t="s">
        <v>36</v>
      </c>
      <c r="G27" s="14"/>
      <c r="H27" s="13">
        <v>45874</v>
      </c>
      <c r="I27" s="15" t="s">
        <v>30</v>
      </c>
      <c r="J27" s="16">
        <v>3.6</v>
      </c>
      <c r="K27" s="16">
        <f>+J27*P27</f>
        <v>89496</v>
      </c>
      <c r="L27" s="12" t="s">
        <v>37</v>
      </c>
      <c r="M27" s="48" t="s">
        <v>32</v>
      </c>
      <c r="N27" s="21" t="s">
        <v>33</v>
      </c>
      <c r="O27" s="15" t="s">
        <v>38</v>
      </c>
      <c r="P27" s="17">
        <v>24860</v>
      </c>
      <c r="Q27" s="18">
        <v>5.39</v>
      </c>
      <c r="R27" s="19">
        <f t="shared" si="0"/>
        <v>133995.4</v>
      </c>
      <c r="S27" s="1">
        <v>3408</v>
      </c>
      <c r="T27" s="1" t="s">
        <v>821</v>
      </c>
      <c r="U27" s="1" t="s">
        <v>822</v>
      </c>
      <c r="V27" s="5">
        <v>16407.600000000002</v>
      </c>
      <c r="W27" s="5">
        <v>2625.2160000000003</v>
      </c>
      <c r="X27" s="5">
        <v>656.30400000000009</v>
      </c>
      <c r="Y27" s="5">
        <v>18376.512000000002</v>
      </c>
    </row>
    <row r="28" spans="1:25" ht="15" customHeight="1" x14ac:dyDescent="0.25">
      <c r="A28" s="20" t="s">
        <v>21</v>
      </c>
      <c r="B28" s="11" t="s">
        <v>17</v>
      </c>
      <c r="C28" s="11" t="s">
        <v>836</v>
      </c>
      <c r="D28" s="12" t="s">
        <v>39</v>
      </c>
      <c r="E28" s="65">
        <v>45871</v>
      </c>
      <c r="F28" s="14" t="s">
        <v>40</v>
      </c>
      <c r="G28" s="14"/>
      <c r="H28" s="13">
        <v>45874</v>
      </c>
      <c r="I28" s="15" t="s">
        <v>30</v>
      </c>
      <c r="J28" s="16">
        <v>3.6</v>
      </c>
      <c r="K28" s="16">
        <f>+J28*P28</f>
        <v>88488</v>
      </c>
      <c r="L28" s="12" t="s">
        <v>41</v>
      </c>
      <c r="M28" s="48" t="s">
        <v>32</v>
      </c>
      <c r="N28" s="21" t="s">
        <v>33</v>
      </c>
      <c r="O28" s="15" t="s">
        <v>42</v>
      </c>
      <c r="P28" s="17">
        <v>24580</v>
      </c>
      <c r="Q28" s="18">
        <v>5.39</v>
      </c>
      <c r="R28" s="19">
        <f t="shared" si="0"/>
        <v>132486.19999999998</v>
      </c>
      <c r="S28" s="54">
        <v>3391</v>
      </c>
      <c r="T28" s="54" t="s">
        <v>821</v>
      </c>
      <c r="U28" s="54" t="s">
        <v>822</v>
      </c>
      <c r="V28" s="57">
        <v>16222.800000000001</v>
      </c>
      <c r="W28" s="57">
        <v>2595.6480000000001</v>
      </c>
      <c r="X28" s="57">
        <v>648.91200000000003</v>
      </c>
      <c r="Y28" s="57">
        <v>18169.536</v>
      </c>
    </row>
    <row r="29" spans="1:25" ht="15" customHeight="1" x14ac:dyDescent="0.25">
      <c r="A29" s="20" t="s">
        <v>21</v>
      </c>
      <c r="B29" s="11" t="s">
        <v>17</v>
      </c>
      <c r="C29" s="11" t="s">
        <v>837</v>
      </c>
      <c r="D29" s="12">
        <v>114341</v>
      </c>
      <c r="E29" s="65">
        <v>45871</v>
      </c>
      <c r="F29" s="14" t="s">
        <v>57</v>
      </c>
      <c r="G29" s="14"/>
      <c r="H29" s="13">
        <v>45874</v>
      </c>
      <c r="I29" s="15" t="s">
        <v>30</v>
      </c>
      <c r="J29" s="16">
        <v>3.6</v>
      </c>
      <c r="K29" s="16">
        <f>+J29*P29</f>
        <v>72720</v>
      </c>
      <c r="L29" s="12" t="s">
        <v>58</v>
      </c>
      <c r="M29" s="48" t="s">
        <v>49</v>
      </c>
      <c r="N29" s="21" t="s">
        <v>50</v>
      </c>
      <c r="O29" s="15" t="s">
        <v>59</v>
      </c>
      <c r="P29" s="17">
        <v>20200</v>
      </c>
      <c r="Q29" s="18">
        <v>4.5999999999999996</v>
      </c>
      <c r="R29" s="19">
        <f t="shared" si="0"/>
        <v>92920</v>
      </c>
      <c r="S29" s="55" t="s">
        <v>129</v>
      </c>
    </row>
    <row r="30" spans="1:25" ht="15" customHeight="1" x14ac:dyDescent="0.25">
      <c r="A30" s="20" t="s">
        <v>21</v>
      </c>
      <c r="B30" s="11" t="s">
        <v>17</v>
      </c>
      <c r="C30" s="11" t="s">
        <v>837</v>
      </c>
      <c r="D30" s="12">
        <v>114343</v>
      </c>
      <c r="E30" s="65">
        <v>45871</v>
      </c>
      <c r="F30" s="14" t="s">
        <v>60</v>
      </c>
      <c r="G30" s="14"/>
      <c r="H30" s="13">
        <v>45874</v>
      </c>
      <c r="I30" s="15" t="s">
        <v>30</v>
      </c>
      <c r="J30" s="16">
        <v>3.6</v>
      </c>
      <c r="K30" s="16">
        <f>+J30*P30</f>
        <v>80640</v>
      </c>
      <c r="L30" s="12" t="s">
        <v>61</v>
      </c>
      <c r="M30" s="48" t="s">
        <v>49</v>
      </c>
      <c r="N30" s="21" t="s">
        <v>50</v>
      </c>
      <c r="O30" s="15" t="s">
        <v>62</v>
      </c>
      <c r="P30" s="17">
        <v>22400</v>
      </c>
      <c r="Q30" s="18">
        <v>4.5999999999999996</v>
      </c>
      <c r="R30" s="19">
        <f t="shared" si="0"/>
        <v>103039.99999999999</v>
      </c>
      <c r="S30" s="55" t="s">
        <v>129</v>
      </c>
    </row>
    <row r="31" spans="1:25" ht="15" customHeight="1" x14ac:dyDescent="0.25">
      <c r="A31" s="20" t="s">
        <v>21</v>
      </c>
      <c r="B31" s="11" t="s">
        <v>17</v>
      </c>
      <c r="C31" s="11" t="s">
        <v>837</v>
      </c>
      <c r="D31" s="12">
        <v>114342</v>
      </c>
      <c r="E31" s="65">
        <v>45871</v>
      </c>
      <c r="F31" s="14" t="s">
        <v>69</v>
      </c>
      <c r="G31" s="14"/>
      <c r="H31" s="13">
        <v>45874</v>
      </c>
      <c r="I31" s="15" t="s">
        <v>67</v>
      </c>
      <c r="J31" s="16">
        <v>1</v>
      </c>
      <c r="K31" s="16">
        <f>+J31*P31</f>
        <v>8840</v>
      </c>
      <c r="L31" s="12" t="s">
        <v>70</v>
      </c>
      <c r="M31" s="48" t="s">
        <v>49</v>
      </c>
      <c r="N31" s="21" t="s">
        <v>50</v>
      </c>
      <c r="O31" s="15" t="s">
        <v>71</v>
      </c>
      <c r="P31" s="17">
        <v>8840</v>
      </c>
      <c r="Q31" s="18">
        <v>1.2</v>
      </c>
      <c r="R31" s="19">
        <f t="shared" si="0"/>
        <v>10608</v>
      </c>
      <c r="S31" s="55" t="s">
        <v>129</v>
      </c>
    </row>
    <row r="32" spans="1:25" ht="15" customHeight="1" x14ac:dyDescent="0.25">
      <c r="A32" s="20" t="s">
        <v>21</v>
      </c>
      <c r="B32" s="11" t="s">
        <v>17</v>
      </c>
      <c r="C32" s="11" t="s">
        <v>838</v>
      </c>
      <c r="D32" s="12">
        <v>114404</v>
      </c>
      <c r="E32" s="65">
        <v>45871</v>
      </c>
      <c r="F32" s="14" t="s">
        <v>95</v>
      </c>
      <c r="G32" s="14"/>
      <c r="H32" s="13">
        <v>45874</v>
      </c>
      <c r="I32" s="15" t="s">
        <v>30</v>
      </c>
      <c r="J32" s="16">
        <v>3.6</v>
      </c>
      <c r="K32" s="16">
        <f>+J32*P32</f>
        <v>65268</v>
      </c>
      <c r="L32" s="12" t="s">
        <v>96</v>
      </c>
      <c r="M32" s="48" t="s">
        <v>81</v>
      </c>
      <c r="N32" s="21" t="s">
        <v>82</v>
      </c>
      <c r="O32" s="15" t="s">
        <v>97</v>
      </c>
      <c r="P32" s="17">
        <v>18130</v>
      </c>
      <c r="Q32" s="18">
        <v>5.37</v>
      </c>
      <c r="R32" s="19">
        <f t="shared" si="0"/>
        <v>97358.1</v>
      </c>
      <c r="S32" s="1">
        <v>8662</v>
      </c>
      <c r="T32" s="1" t="s">
        <v>823</v>
      </c>
      <c r="U32" s="1" t="s">
        <v>824</v>
      </c>
      <c r="V32" s="5">
        <v>7505</v>
      </c>
      <c r="W32" s="5">
        <v>1200.8</v>
      </c>
      <c r="X32" s="5">
        <v>300.2</v>
      </c>
      <c r="Y32" s="5">
        <v>8405.5999999999985</v>
      </c>
    </row>
    <row r="33" spans="1:25" ht="15" customHeight="1" x14ac:dyDescent="0.25">
      <c r="A33" s="20" t="s">
        <v>21</v>
      </c>
      <c r="B33" s="11" t="s">
        <v>17</v>
      </c>
      <c r="C33" s="11" t="s">
        <v>831</v>
      </c>
      <c r="D33" s="12">
        <v>10138</v>
      </c>
      <c r="E33" s="65">
        <v>45872</v>
      </c>
      <c r="F33" s="14" t="s">
        <v>25</v>
      </c>
      <c r="G33" s="14"/>
      <c r="H33" s="13">
        <v>45874</v>
      </c>
      <c r="I33" s="15" t="s">
        <v>19</v>
      </c>
      <c r="J33" s="16">
        <v>3.6</v>
      </c>
      <c r="K33" s="16">
        <f>+J33*P33</f>
        <v>70257.600000000006</v>
      </c>
      <c r="L33" s="12" t="s">
        <v>26</v>
      </c>
      <c r="M33" s="48" t="s">
        <v>22</v>
      </c>
      <c r="N33" s="21" t="s">
        <v>23</v>
      </c>
      <c r="O33" s="15" t="s">
        <v>27</v>
      </c>
      <c r="P33" s="17">
        <v>19516</v>
      </c>
      <c r="Q33" s="18">
        <v>5.29</v>
      </c>
      <c r="R33" s="19">
        <f t="shared" si="0"/>
        <v>103239.64</v>
      </c>
      <c r="S33" s="1">
        <v>941</v>
      </c>
      <c r="T33" s="1" t="s">
        <v>801</v>
      </c>
      <c r="U33" s="1" t="s">
        <v>802</v>
      </c>
      <c r="V33" s="5">
        <v>15005</v>
      </c>
      <c r="W33" s="5">
        <v>2400.8000000000002</v>
      </c>
      <c r="X33" s="5">
        <v>600.20000000000005</v>
      </c>
      <c r="Y33" s="5">
        <v>16805.599999999999</v>
      </c>
    </row>
    <row r="34" spans="1:25" ht="15" customHeight="1" x14ac:dyDescent="0.25">
      <c r="A34" s="20" t="s">
        <v>21</v>
      </c>
      <c r="B34" s="11" t="s">
        <v>17</v>
      </c>
      <c r="C34" s="11" t="s">
        <v>832</v>
      </c>
      <c r="D34" s="12" t="s">
        <v>227</v>
      </c>
      <c r="E34" s="65">
        <v>45873</v>
      </c>
      <c r="F34" s="14" t="s">
        <v>228</v>
      </c>
      <c r="G34" s="14"/>
      <c r="H34" s="13">
        <v>45881</v>
      </c>
      <c r="I34" s="15" t="s">
        <v>109</v>
      </c>
      <c r="J34" s="16">
        <v>3.6</v>
      </c>
      <c r="K34" s="16">
        <f>+J34*P34</f>
        <v>86400</v>
      </c>
      <c r="L34" s="12"/>
      <c r="M34" s="48" t="s">
        <v>135</v>
      </c>
      <c r="N34" s="21" t="s">
        <v>136</v>
      </c>
      <c r="O34" s="15" t="s">
        <v>229</v>
      </c>
      <c r="P34" s="17">
        <v>24000</v>
      </c>
      <c r="Q34" s="18">
        <v>5.3</v>
      </c>
      <c r="R34" s="19">
        <f t="shared" si="0"/>
        <v>127200</v>
      </c>
      <c r="S34" s="22">
        <v>14359</v>
      </c>
      <c r="T34" s="22" t="s">
        <v>803</v>
      </c>
      <c r="U34" s="22" t="s">
        <v>804</v>
      </c>
      <c r="V34" s="56">
        <v>14350</v>
      </c>
      <c r="W34" s="56">
        <v>2296</v>
      </c>
      <c r="X34" s="56">
        <v>574</v>
      </c>
      <c r="Y34" s="56">
        <v>16072</v>
      </c>
    </row>
    <row r="35" spans="1:25" ht="15" customHeight="1" x14ac:dyDescent="0.25">
      <c r="A35" s="20" t="s">
        <v>21</v>
      </c>
      <c r="B35" s="11" t="s">
        <v>17</v>
      </c>
      <c r="C35" s="11" t="s">
        <v>836</v>
      </c>
      <c r="D35" s="12" t="s">
        <v>43</v>
      </c>
      <c r="E35" s="65">
        <v>45873</v>
      </c>
      <c r="F35" s="14" t="s">
        <v>44</v>
      </c>
      <c r="G35" s="14"/>
      <c r="H35" s="13">
        <v>45874</v>
      </c>
      <c r="I35" s="15" t="s">
        <v>30</v>
      </c>
      <c r="J35" s="16">
        <v>3.6</v>
      </c>
      <c r="K35" s="16">
        <f>+J35*P35</f>
        <v>87372</v>
      </c>
      <c r="L35" s="12" t="s">
        <v>45</v>
      </c>
      <c r="M35" s="48" t="s">
        <v>32</v>
      </c>
      <c r="N35" s="21" t="s">
        <v>33</v>
      </c>
      <c r="O35" s="15" t="s">
        <v>46</v>
      </c>
      <c r="P35" s="17">
        <v>24270</v>
      </c>
      <c r="Q35" s="18">
        <v>5.39</v>
      </c>
      <c r="R35" s="19">
        <f t="shared" ref="R35:R66" si="1">+P35*Q35</f>
        <v>130815.29999999999</v>
      </c>
      <c r="S35" s="1">
        <v>3390</v>
      </c>
      <c r="T35" s="1" t="s">
        <v>821</v>
      </c>
      <c r="U35" s="1" t="s">
        <v>822</v>
      </c>
      <c r="V35" s="5">
        <v>16018.2</v>
      </c>
      <c r="W35" s="5">
        <v>2562.9120000000003</v>
      </c>
      <c r="X35" s="5">
        <v>640.72800000000007</v>
      </c>
      <c r="Y35" s="5">
        <v>17940.384000000002</v>
      </c>
    </row>
    <row r="36" spans="1:25" ht="15" customHeight="1" x14ac:dyDescent="0.25">
      <c r="A36" s="20" t="s">
        <v>21</v>
      </c>
      <c r="B36" s="11" t="s">
        <v>17</v>
      </c>
      <c r="C36" s="11" t="s">
        <v>837</v>
      </c>
      <c r="D36" s="12">
        <v>114344</v>
      </c>
      <c r="E36" s="65">
        <v>45873</v>
      </c>
      <c r="F36" s="14" t="s">
        <v>63</v>
      </c>
      <c r="G36" s="14"/>
      <c r="H36" s="13">
        <v>45874</v>
      </c>
      <c r="I36" s="15" t="s">
        <v>30</v>
      </c>
      <c r="J36" s="16">
        <v>3.6</v>
      </c>
      <c r="K36" s="16">
        <f>+J36*P36</f>
        <v>72432</v>
      </c>
      <c r="L36" s="12" t="s">
        <v>64</v>
      </c>
      <c r="M36" s="48" t="s">
        <v>49</v>
      </c>
      <c r="N36" s="21" t="s">
        <v>50</v>
      </c>
      <c r="O36" s="15" t="s">
        <v>65</v>
      </c>
      <c r="P36" s="17">
        <v>20120</v>
      </c>
      <c r="Q36" s="18">
        <v>4.5999999999999996</v>
      </c>
      <c r="R36" s="19">
        <f t="shared" si="1"/>
        <v>92552</v>
      </c>
      <c r="S36" s="55" t="s">
        <v>129</v>
      </c>
    </row>
    <row r="37" spans="1:25" s="22" customFormat="1" ht="15" customHeight="1" x14ac:dyDescent="0.25">
      <c r="A37" s="20" t="s">
        <v>21</v>
      </c>
      <c r="B37" s="11" t="s">
        <v>17</v>
      </c>
      <c r="C37" s="11" t="s">
        <v>838</v>
      </c>
      <c r="D37" s="12">
        <v>114408</v>
      </c>
      <c r="E37" s="65">
        <v>45873</v>
      </c>
      <c r="F37" s="14" t="s">
        <v>98</v>
      </c>
      <c r="G37" s="14"/>
      <c r="H37" s="13">
        <v>45874</v>
      </c>
      <c r="I37" s="15" t="s">
        <v>30</v>
      </c>
      <c r="J37" s="16">
        <v>3.6</v>
      </c>
      <c r="K37" s="16">
        <f>+J37*P37</f>
        <v>64584</v>
      </c>
      <c r="L37" s="12" t="s">
        <v>99</v>
      </c>
      <c r="M37" s="48" t="s">
        <v>81</v>
      </c>
      <c r="N37" s="21" t="s">
        <v>82</v>
      </c>
      <c r="O37" s="15" t="s">
        <v>100</v>
      </c>
      <c r="P37" s="17">
        <v>17940</v>
      </c>
      <c r="Q37" s="18">
        <v>5.37</v>
      </c>
      <c r="R37" s="19">
        <f t="shared" si="1"/>
        <v>96337.8</v>
      </c>
      <c r="S37" s="1">
        <v>8690</v>
      </c>
      <c r="T37" s="1" t="s">
        <v>823</v>
      </c>
      <c r="U37" s="1" t="s">
        <v>824</v>
      </c>
      <c r="V37" s="5">
        <v>7505</v>
      </c>
      <c r="W37" s="5">
        <v>1200.8</v>
      </c>
      <c r="X37" s="5">
        <v>300.2</v>
      </c>
      <c r="Y37" s="5">
        <v>8405.5999999999985</v>
      </c>
    </row>
    <row r="38" spans="1:25" ht="15" customHeight="1" x14ac:dyDescent="0.25">
      <c r="A38" s="20" t="s">
        <v>21</v>
      </c>
      <c r="B38" s="11" t="s">
        <v>17</v>
      </c>
      <c r="C38" s="11" t="s">
        <v>838</v>
      </c>
      <c r="D38" s="12">
        <v>114409</v>
      </c>
      <c r="E38" s="65">
        <v>45873</v>
      </c>
      <c r="F38" s="14" t="s">
        <v>101</v>
      </c>
      <c r="G38" s="14"/>
      <c r="H38" s="13">
        <v>45874</v>
      </c>
      <c r="I38" s="15" t="s">
        <v>30</v>
      </c>
      <c r="J38" s="16">
        <v>1</v>
      </c>
      <c r="K38" s="16">
        <f>+J38*P38</f>
        <v>7810</v>
      </c>
      <c r="L38" s="12" t="s">
        <v>102</v>
      </c>
      <c r="M38" s="48" t="s">
        <v>81</v>
      </c>
      <c r="N38" s="21" t="s">
        <v>82</v>
      </c>
      <c r="O38" s="15" t="s">
        <v>103</v>
      </c>
      <c r="P38" s="17">
        <v>7810</v>
      </c>
      <c r="Q38" s="18">
        <v>5.37</v>
      </c>
      <c r="R38" s="19">
        <f t="shared" si="1"/>
        <v>41939.700000000004</v>
      </c>
      <c r="S38" s="1">
        <v>8691</v>
      </c>
      <c r="T38" s="1" t="s">
        <v>823</v>
      </c>
      <c r="U38" s="1" t="s">
        <v>824</v>
      </c>
      <c r="V38" s="5">
        <v>7505</v>
      </c>
      <c r="W38" s="5">
        <v>1200.8</v>
      </c>
      <c r="X38" s="5">
        <v>300.2</v>
      </c>
      <c r="Y38" s="5">
        <v>8405.5999999999985</v>
      </c>
    </row>
    <row r="39" spans="1:25" ht="15" customHeight="1" x14ac:dyDescent="0.25">
      <c r="A39" s="20" t="s">
        <v>21</v>
      </c>
      <c r="B39" s="11" t="s">
        <v>17</v>
      </c>
      <c r="C39" s="11" t="s">
        <v>838</v>
      </c>
      <c r="D39" s="12">
        <v>114410</v>
      </c>
      <c r="E39" s="65">
        <v>45873</v>
      </c>
      <c r="F39" s="14" t="s">
        <v>187</v>
      </c>
      <c r="G39" s="14"/>
      <c r="H39" s="13">
        <v>45877</v>
      </c>
      <c r="I39" s="15" t="s">
        <v>127</v>
      </c>
      <c r="J39" s="16">
        <v>3.6</v>
      </c>
      <c r="K39" s="16">
        <f>+J39*P39</f>
        <v>77904</v>
      </c>
      <c r="L39" s="12" t="s">
        <v>188</v>
      </c>
      <c r="M39" s="48" t="s">
        <v>81</v>
      </c>
      <c r="N39" s="21" t="s">
        <v>82</v>
      </c>
      <c r="O39" s="15" t="s">
        <v>189</v>
      </c>
      <c r="P39" s="17">
        <v>21640</v>
      </c>
      <c r="Q39" s="18">
        <v>3.8</v>
      </c>
      <c r="R39" s="19">
        <f t="shared" si="1"/>
        <v>82232</v>
      </c>
      <c r="S39" s="1" t="s">
        <v>129</v>
      </c>
    </row>
    <row r="40" spans="1:25" ht="15" customHeight="1" x14ac:dyDescent="0.25">
      <c r="A40" s="20" t="s">
        <v>21</v>
      </c>
      <c r="B40" s="11" t="s">
        <v>17</v>
      </c>
      <c r="C40" s="11" t="s">
        <v>833</v>
      </c>
      <c r="D40" s="12">
        <v>20779</v>
      </c>
      <c r="E40" s="65">
        <v>45874</v>
      </c>
      <c r="F40" s="14" t="s">
        <v>209</v>
      </c>
      <c r="G40" s="14"/>
      <c r="H40" s="13">
        <v>45881</v>
      </c>
      <c r="I40" s="15" t="s">
        <v>109</v>
      </c>
      <c r="J40" s="16">
        <v>3.2</v>
      </c>
      <c r="K40" s="16">
        <f>+J40*P40</f>
        <v>84384</v>
      </c>
      <c r="L40" s="12" t="s">
        <v>210</v>
      </c>
      <c r="M40" s="48" t="s">
        <v>110</v>
      </c>
      <c r="N40" s="21" t="s">
        <v>111</v>
      </c>
      <c r="O40" s="15" t="s">
        <v>211</v>
      </c>
      <c r="P40" s="17">
        <v>26370</v>
      </c>
      <c r="Q40" s="18">
        <v>5.3</v>
      </c>
      <c r="R40" s="19">
        <f t="shared" si="1"/>
        <v>139761</v>
      </c>
      <c r="S40" s="62">
        <v>19953</v>
      </c>
      <c r="T40" s="62" t="s">
        <v>807</v>
      </c>
      <c r="U40" s="62" t="s">
        <v>808</v>
      </c>
      <c r="V40" s="63">
        <v>50894.1</v>
      </c>
      <c r="W40" s="63">
        <v>8143.0559999999996</v>
      </c>
      <c r="X40" s="63">
        <v>2035.7639999999999</v>
      </c>
      <c r="Y40" s="63">
        <v>57001.391999999993</v>
      </c>
    </row>
    <row r="41" spans="1:25" ht="15" customHeight="1" x14ac:dyDescent="0.25">
      <c r="A41" s="20" t="s">
        <v>21</v>
      </c>
      <c r="B41" s="11" t="s">
        <v>17</v>
      </c>
      <c r="C41" s="11" t="s">
        <v>834</v>
      </c>
      <c r="D41" s="12">
        <v>23713</v>
      </c>
      <c r="E41" s="65">
        <v>45874</v>
      </c>
      <c r="F41" s="14" t="s">
        <v>122</v>
      </c>
      <c r="G41" s="14"/>
      <c r="H41" s="13">
        <v>45876</v>
      </c>
      <c r="I41" s="15" t="s">
        <v>30</v>
      </c>
      <c r="J41" s="16">
        <v>3.6</v>
      </c>
      <c r="K41" s="16">
        <f>+J41*P41</f>
        <v>88812</v>
      </c>
      <c r="L41" s="12"/>
      <c r="M41" s="48" t="s">
        <v>73</v>
      </c>
      <c r="N41" s="21" t="s">
        <v>74</v>
      </c>
      <c r="O41" s="15" t="s">
        <v>123</v>
      </c>
      <c r="P41" s="17">
        <v>24670</v>
      </c>
      <c r="Q41" s="18">
        <v>4.5</v>
      </c>
      <c r="R41" s="19">
        <f t="shared" si="1"/>
        <v>111015</v>
      </c>
      <c r="S41" s="55" t="s">
        <v>129</v>
      </c>
    </row>
    <row r="42" spans="1:25" ht="15" customHeight="1" x14ac:dyDescent="0.25">
      <c r="A42" s="20" t="s">
        <v>21</v>
      </c>
      <c r="B42" s="11" t="s">
        <v>17</v>
      </c>
      <c r="C42" s="11" t="s">
        <v>837</v>
      </c>
      <c r="D42" s="12">
        <v>114345</v>
      </c>
      <c r="E42" s="65">
        <v>45874</v>
      </c>
      <c r="F42" s="14" t="s">
        <v>159</v>
      </c>
      <c r="G42" s="14"/>
      <c r="H42" s="13">
        <v>45877</v>
      </c>
      <c r="I42" s="15" t="s">
        <v>30</v>
      </c>
      <c r="J42" s="16">
        <v>3.6</v>
      </c>
      <c r="K42" s="16">
        <f>+J42*P42</f>
        <v>69696</v>
      </c>
      <c r="L42" s="12" t="s">
        <v>160</v>
      </c>
      <c r="M42" s="48" t="s">
        <v>49</v>
      </c>
      <c r="N42" s="21" t="s">
        <v>50</v>
      </c>
      <c r="O42" s="15" t="s">
        <v>161</v>
      </c>
      <c r="P42" s="17">
        <v>19360</v>
      </c>
      <c r="Q42" s="18">
        <v>4.5999999999999996</v>
      </c>
      <c r="R42" s="19">
        <f t="shared" si="1"/>
        <v>89056</v>
      </c>
      <c r="S42" s="55" t="s">
        <v>129</v>
      </c>
    </row>
    <row r="43" spans="1:25" ht="15" customHeight="1" x14ac:dyDescent="0.25">
      <c r="A43" s="20" t="s">
        <v>21</v>
      </c>
      <c r="B43" s="11" t="s">
        <v>17</v>
      </c>
      <c r="C43" s="11" t="s">
        <v>837</v>
      </c>
      <c r="D43" s="12">
        <v>114346</v>
      </c>
      <c r="E43" s="65">
        <v>45874</v>
      </c>
      <c r="F43" s="14" t="s">
        <v>162</v>
      </c>
      <c r="G43" s="14"/>
      <c r="H43" s="13">
        <v>45877</v>
      </c>
      <c r="I43" s="15" t="s">
        <v>30</v>
      </c>
      <c r="J43" s="16">
        <v>3.6</v>
      </c>
      <c r="K43" s="16">
        <f>+J43*P43</f>
        <v>71172</v>
      </c>
      <c r="L43" s="12" t="s">
        <v>163</v>
      </c>
      <c r="M43" s="48" t="s">
        <v>49</v>
      </c>
      <c r="N43" s="21" t="s">
        <v>50</v>
      </c>
      <c r="O43" s="15" t="s">
        <v>164</v>
      </c>
      <c r="P43" s="17">
        <v>19770</v>
      </c>
      <c r="Q43" s="18">
        <v>4.5999999999999996</v>
      </c>
      <c r="R43" s="19">
        <f t="shared" si="1"/>
        <v>90942</v>
      </c>
      <c r="S43" s="55" t="s">
        <v>129</v>
      </c>
    </row>
    <row r="44" spans="1:25" ht="15" customHeight="1" x14ac:dyDescent="0.25">
      <c r="A44" s="20" t="s">
        <v>21</v>
      </c>
      <c r="B44" s="11" t="s">
        <v>17</v>
      </c>
      <c r="C44" s="11" t="s">
        <v>838</v>
      </c>
      <c r="D44" s="12">
        <v>114412</v>
      </c>
      <c r="E44" s="65">
        <v>45874</v>
      </c>
      <c r="F44" s="14" t="s">
        <v>190</v>
      </c>
      <c r="G44" s="14"/>
      <c r="H44" s="13">
        <v>45877</v>
      </c>
      <c r="I44" s="15" t="s">
        <v>127</v>
      </c>
      <c r="J44" s="16">
        <v>3.6</v>
      </c>
      <c r="K44" s="16">
        <f>+J44*P44</f>
        <v>76608</v>
      </c>
      <c r="L44" s="12" t="s">
        <v>191</v>
      </c>
      <c r="M44" s="48" t="s">
        <v>81</v>
      </c>
      <c r="N44" s="21" t="s">
        <v>82</v>
      </c>
      <c r="O44" s="15" t="s">
        <v>192</v>
      </c>
      <c r="P44" s="17">
        <v>21280</v>
      </c>
      <c r="Q44" s="18">
        <v>3.8</v>
      </c>
      <c r="R44" s="19">
        <f t="shared" si="1"/>
        <v>80864</v>
      </c>
      <c r="S44" s="1" t="s">
        <v>129</v>
      </c>
    </row>
    <row r="45" spans="1:25" ht="15" customHeight="1" x14ac:dyDescent="0.25">
      <c r="A45" s="20" t="s">
        <v>21</v>
      </c>
      <c r="B45" s="11" t="s">
        <v>17</v>
      </c>
      <c r="C45" s="11" t="s">
        <v>831</v>
      </c>
      <c r="D45" s="12">
        <v>10139</v>
      </c>
      <c r="E45" s="65">
        <v>45875</v>
      </c>
      <c r="F45" s="14" t="s">
        <v>119</v>
      </c>
      <c r="G45" s="14"/>
      <c r="H45" s="13">
        <v>45876</v>
      </c>
      <c r="I45" s="15" t="s">
        <v>19</v>
      </c>
      <c r="J45" s="16">
        <v>3.6</v>
      </c>
      <c r="K45" s="16">
        <f>+J45*P45</f>
        <v>71679.600000000006</v>
      </c>
      <c r="L45" s="12" t="s">
        <v>120</v>
      </c>
      <c r="M45" s="48" t="s">
        <v>22</v>
      </c>
      <c r="N45" s="21" t="s">
        <v>23</v>
      </c>
      <c r="O45" s="15" t="s">
        <v>121</v>
      </c>
      <c r="P45" s="17">
        <v>19911</v>
      </c>
      <c r="Q45" s="18">
        <v>5.29</v>
      </c>
      <c r="R45" s="19">
        <f t="shared" si="1"/>
        <v>105329.19</v>
      </c>
      <c r="S45" s="1">
        <v>943</v>
      </c>
      <c r="T45" s="1" t="s">
        <v>801</v>
      </c>
      <c r="U45" s="1" t="s">
        <v>802</v>
      </c>
      <c r="V45" s="5">
        <v>15005</v>
      </c>
      <c r="W45" s="5">
        <v>2400.8000000000002</v>
      </c>
      <c r="X45" s="5">
        <v>600.20000000000005</v>
      </c>
      <c r="Y45" s="5">
        <v>16805.599999999999</v>
      </c>
    </row>
    <row r="46" spans="1:25" ht="15" customHeight="1" x14ac:dyDescent="0.25">
      <c r="A46" s="20" t="s">
        <v>21</v>
      </c>
      <c r="B46" s="11" t="s">
        <v>17</v>
      </c>
      <c r="C46" s="11" t="s">
        <v>832</v>
      </c>
      <c r="D46" s="12" t="s">
        <v>133</v>
      </c>
      <c r="E46" s="65">
        <v>45875</v>
      </c>
      <c r="F46" s="14" t="s">
        <v>134</v>
      </c>
      <c r="G46" s="14"/>
      <c r="H46" s="13">
        <v>45876</v>
      </c>
      <c r="I46" s="15" t="s">
        <v>109</v>
      </c>
      <c r="J46" s="16">
        <v>3.6</v>
      </c>
      <c r="K46" s="16">
        <f>+J46*P46</f>
        <v>78840</v>
      </c>
      <c r="L46" s="12"/>
      <c r="M46" s="48" t="s">
        <v>135</v>
      </c>
      <c r="N46" s="21" t="s">
        <v>136</v>
      </c>
      <c r="O46" s="15" t="s">
        <v>137</v>
      </c>
      <c r="P46" s="17">
        <v>21900</v>
      </c>
      <c r="Q46" s="18">
        <v>5.3</v>
      </c>
      <c r="R46" s="19">
        <f t="shared" si="1"/>
        <v>116070</v>
      </c>
      <c r="S46" s="22">
        <v>14142</v>
      </c>
      <c r="T46" s="22" t="s">
        <v>803</v>
      </c>
      <c r="U46" s="22" t="s">
        <v>804</v>
      </c>
      <c r="V46" s="56">
        <v>14350</v>
      </c>
      <c r="W46" s="56">
        <v>2296</v>
      </c>
      <c r="X46" s="56">
        <v>574</v>
      </c>
      <c r="Y46" s="56">
        <v>16072</v>
      </c>
    </row>
    <row r="47" spans="1:25" ht="15" customHeight="1" x14ac:dyDescent="0.25">
      <c r="A47" s="20" t="s">
        <v>21</v>
      </c>
      <c r="B47" s="11" t="s">
        <v>17</v>
      </c>
      <c r="C47" s="11" t="s">
        <v>833</v>
      </c>
      <c r="D47" s="12">
        <v>20786</v>
      </c>
      <c r="E47" s="65">
        <v>45875</v>
      </c>
      <c r="F47" s="14" t="s">
        <v>212</v>
      </c>
      <c r="G47" s="14"/>
      <c r="H47" s="13">
        <v>45881</v>
      </c>
      <c r="I47" s="15" t="s">
        <v>109</v>
      </c>
      <c r="J47" s="16">
        <v>3.2</v>
      </c>
      <c r="K47" s="16">
        <f>+J47*P47</f>
        <v>77888</v>
      </c>
      <c r="L47" s="12" t="s">
        <v>213</v>
      </c>
      <c r="M47" s="48" t="s">
        <v>110</v>
      </c>
      <c r="N47" s="21" t="s">
        <v>111</v>
      </c>
      <c r="O47" s="15" t="s">
        <v>214</v>
      </c>
      <c r="P47" s="17">
        <v>24340</v>
      </c>
      <c r="Q47" s="18">
        <v>5.3</v>
      </c>
      <c r="R47" s="19">
        <f t="shared" si="1"/>
        <v>129002</v>
      </c>
      <c r="S47" s="1">
        <v>13908</v>
      </c>
      <c r="T47" s="1" t="s">
        <v>803</v>
      </c>
      <c r="U47" s="1" t="s">
        <v>804</v>
      </c>
      <c r="V47" s="5">
        <v>46976.2</v>
      </c>
      <c r="W47" s="5">
        <v>7516.192</v>
      </c>
      <c r="X47" s="5">
        <v>1879.048</v>
      </c>
      <c r="Y47" s="5">
        <v>52613.343999999997</v>
      </c>
    </row>
    <row r="48" spans="1:25" ht="15" customHeight="1" x14ac:dyDescent="0.25">
      <c r="A48" s="20" t="s">
        <v>21</v>
      </c>
      <c r="B48" s="11" t="s">
        <v>17</v>
      </c>
      <c r="C48" s="11" t="s">
        <v>833</v>
      </c>
      <c r="D48" s="12">
        <v>20787</v>
      </c>
      <c r="E48" s="65">
        <v>45875</v>
      </c>
      <c r="F48" s="14" t="s">
        <v>215</v>
      </c>
      <c r="G48" s="14"/>
      <c r="H48" s="13">
        <v>45881</v>
      </c>
      <c r="I48" s="15" t="s">
        <v>109</v>
      </c>
      <c r="J48" s="16">
        <v>3.2</v>
      </c>
      <c r="K48" s="16">
        <f>+J48*P48</f>
        <v>80000</v>
      </c>
      <c r="L48" s="12" t="s">
        <v>216</v>
      </c>
      <c r="M48" s="48" t="s">
        <v>110</v>
      </c>
      <c r="N48" s="21" t="s">
        <v>111</v>
      </c>
      <c r="O48" s="15" t="s">
        <v>217</v>
      </c>
      <c r="P48" s="17">
        <v>25000</v>
      </c>
      <c r="Q48" s="18">
        <v>5.3</v>
      </c>
      <c r="R48" s="19">
        <f t="shared" si="1"/>
        <v>132500</v>
      </c>
      <c r="S48" s="1">
        <v>19891</v>
      </c>
      <c r="T48" s="1" t="s">
        <v>807</v>
      </c>
      <c r="U48" s="1" t="s">
        <v>808</v>
      </c>
      <c r="V48" s="5">
        <v>48250</v>
      </c>
      <c r="W48" s="5">
        <v>7720</v>
      </c>
      <c r="X48" s="5">
        <v>1930</v>
      </c>
      <c r="Y48" s="5">
        <v>54040</v>
      </c>
    </row>
    <row r="49" spans="1:25" ht="15" customHeight="1" x14ac:dyDescent="0.25">
      <c r="A49" s="20" t="s">
        <v>21</v>
      </c>
      <c r="B49" s="11" t="s">
        <v>17</v>
      </c>
      <c r="C49" s="11" t="s">
        <v>834</v>
      </c>
      <c r="D49" s="12">
        <v>23714</v>
      </c>
      <c r="E49" s="65">
        <v>45875</v>
      </c>
      <c r="F49" s="14" t="s">
        <v>124</v>
      </c>
      <c r="G49" s="14"/>
      <c r="H49" s="13">
        <v>45876</v>
      </c>
      <c r="I49" s="15" t="s">
        <v>30</v>
      </c>
      <c r="J49" s="16">
        <v>3.6</v>
      </c>
      <c r="K49" s="16">
        <f>+J49*P49</f>
        <v>82044</v>
      </c>
      <c r="L49" s="12"/>
      <c r="M49" s="48" t="s">
        <v>73</v>
      </c>
      <c r="N49" s="21" t="s">
        <v>74</v>
      </c>
      <c r="O49" s="15" t="s">
        <v>125</v>
      </c>
      <c r="P49" s="17">
        <v>22790</v>
      </c>
      <c r="Q49" s="18">
        <v>4.5</v>
      </c>
      <c r="R49" s="19">
        <f t="shared" si="1"/>
        <v>102555</v>
      </c>
      <c r="S49" s="55" t="s">
        <v>129</v>
      </c>
    </row>
    <row r="50" spans="1:25" ht="15" customHeight="1" x14ac:dyDescent="0.25">
      <c r="A50" s="20" t="s">
        <v>21</v>
      </c>
      <c r="B50" s="11" t="s">
        <v>17</v>
      </c>
      <c r="C50" s="11" t="s">
        <v>837</v>
      </c>
      <c r="D50" s="12">
        <v>114348</v>
      </c>
      <c r="E50" s="65">
        <v>45875</v>
      </c>
      <c r="F50" s="14" t="s">
        <v>165</v>
      </c>
      <c r="G50" s="14"/>
      <c r="H50" s="13">
        <v>45877</v>
      </c>
      <c r="I50" s="15" t="s">
        <v>30</v>
      </c>
      <c r="J50" s="16">
        <v>3.6</v>
      </c>
      <c r="K50" s="16">
        <f>+J50*P50</f>
        <v>65628</v>
      </c>
      <c r="L50" s="12"/>
      <c r="M50" s="48" t="s">
        <v>49</v>
      </c>
      <c r="N50" s="21" t="s">
        <v>50</v>
      </c>
      <c r="O50" s="15" t="s">
        <v>166</v>
      </c>
      <c r="P50" s="17">
        <v>18230</v>
      </c>
      <c r="Q50" s="18">
        <v>4.5999999999999996</v>
      </c>
      <c r="R50" s="19">
        <f t="shared" si="1"/>
        <v>83858</v>
      </c>
      <c r="S50" s="55" t="s">
        <v>129</v>
      </c>
    </row>
    <row r="51" spans="1:25" ht="15" customHeight="1" x14ac:dyDescent="0.25">
      <c r="A51" s="20" t="s">
        <v>21</v>
      </c>
      <c r="B51" s="11" t="s">
        <v>17</v>
      </c>
      <c r="C51" s="11" t="s">
        <v>837</v>
      </c>
      <c r="D51" s="12">
        <v>114349</v>
      </c>
      <c r="E51" s="65">
        <v>45875</v>
      </c>
      <c r="F51" s="14" t="s">
        <v>167</v>
      </c>
      <c r="G51" s="14"/>
      <c r="H51" s="13">
        <v>45877</v>
      </c>
      <c r="I51" s="15" t="s">
        <v>30</v>
      </c>
      <c r="J51" s="16">
        <v>3.6</v>
      </c>
      <c r="K51" s="16">
        <f>+J51*P51</f>
        <v>75420</v>
      </c>
      <c r="L51" s="12"/>
      <c r="M51" s="48" t="s">
        <v>49</v>
      </c>
      <c r="N51" s="21" t="s">
        <v>50</v>
      </c>
      <c r="O51" s="15" t="s">
        <v>168</v>
      </c>
      <c r="P51" s="17">
        <v>20950</v>
      </c>
      <c r="Q51" s="18">
        <v>4.5999999999999996</v>
      </c>
      <c r="R51" s="19">
        <f t="shared" si="1"/>
        <v>96369.999999999985</v>
      </c>
      <c r="S51" s="55" t="s">
        <v>129</v>
      </c>
    </row>
    <row r="52" spans="1:25" ht="15" customHeight="1" x14ac:dyDescent="0.25">
      <c r="A52" s="20" t="s">
        <v>21</v>
      </c>
      <c r="B52" s="11" t="s">
        <v>17</v>
      </c>
      <c r="C52" s="11" t="s">
        <v>837</v>
      </c>
      <c r="D52" s="12">
        <v>114347</v>
      </c>
      <c r="E52" s="65">
        <v>45875</v>
      </c>
      <c r="F52" s="14" t="s">
        <v>196</v>
      </c>
      <c r="G52" s="14"/>
      <c r="H52" s="13">
        <v>45877</v>
      </c>
      <c r="I52" s="15" t="s">
        <v>67</v>
      </c>
      <c r="J52" s="16">
        <v>1</v>
      </c>
      <c r="K52" s="16">
        <f>+J52*P52</f>
        <v>8860</v>
      </c>
      <c r="L52" s="12" t="s">
        <v>197</v>
      </c>
      <c r="M52" s="48" t="s">
        <v>49</v>
      </c>
      <c r="N52" s="21" t="s">
        <v>50</v>
      </c>
      <c r="O52" s="15" t="s">
        <v>198</v>
      </c>
      <c r="P52" s="17">
        <v>8860</v>
      </c>
      <c r="Q52" s="18">
        <v>1.2</v>
      </c>
      <c r="R52" s="19">
        <f t="shared" si="1"/>
        <v>10632</v>
      </c>
      <c r="S52" s="55" t="s">
        <v>129</v>
      </c>
    </row>
    <row r="53" spans="1:25" ht="15" customHeight="1" x14ac:dyDescent="0.25">
      <c r="A53" s="20" t="s">
        <v>21</v>
      </c>
      <c r="B53" s="11" t="s">
        <v>17</v>
      </c>
      <c r="C53" s="11" t="s">
        <v>838</v>
      </c>
      <c r="D53" s="12">
        <v>114416</v>
      </c>
      <c r="E53" s="65">
        <v>45875</v>
      </c>
      <c r="F53" s="14" t="s">
        <v>193</v>
      </c>
      <c r="G53" s="14"/>
      <c r="H53" s="13">
        <v>45877</v>
      </c>
      <c r="I53" s="15" t="s">
        <v>127</v>
      </c>
      <c r="J53" s="16">
        <v>3.6</v>
      </c>
      <c r="K53" s="16">
        <f>+J53*P53</f>
        <v>76176</v>
      </c>
      <c r="L53" s="12" t="s">
        <v>194</v>
      </c>
      <c r="M53" s="48" t="s">
        <v>81</v>
      </c>
      <c r="N53" s="21" t="s">
        <v>82</v>
      </c>
      <c r="O53" s="15" t="s">
        <v>195</v>
      </c>
      <c r="P53" s="17">
        <v>21160</v>
      </c>
      <c r="Q53" s="18">
        <v>3.8</v>
      </c>
      <c r="R53" s="19">
        <f t="shared" si="1"/>
        <v>80408</v>
      </c>
      <c r="S53" s="1" t="s">
        <v>129</v>
      </c>
    </row>
    <row r="54" spans="1:25" ht="15" customHeight="1" x14ac:dyDescent="0.25">
      <c r="A54" s="20" t="s">
        <v>21</v>
      </c>
      <c r="B54" s="11" t="s">
        <v>17</v>
      </c>
      <c r="C54" s="11" t="s">
        <v>838</v>
      </c>
      <c r="D54" s="12">
        <v>114415</v>
      </c>
      <c r="E54" s="65">
        <v>45875</v>
      </c>
      <c r="F54" s="14" t="s">
        <v>280</v>
      </c>
      <c r="G54" s="14"/>
      <c r="H54" s="13">
        <v>45883</v>
      </c>
      <c r="I54" s="15" t="s">
        <v>127</v>
      </c>
      <c r="J54" s="16">
        <v>3.6</v>
      </c>
      <c r="K54" s="16">
        <f>+J54*P54</f>
        <v>77436</v>
      </c>
      <c r="L54" s="12" t="s">
        <v>281</v>
      </c>
      <c r="M54" s="48" t="s">
        <v>282</v>
      </c>
      <c r="N54" s="21" t="s">
        <v>283</v>
      </c>
      <c r="O54" s="15" t="s">
        <v>284</v>
      </c>
      <c r="P54" s="17">
        <v>21510</v>
      </c>
      <c r="Q54" s="18">
        <v>3.8</v>
      </c>
      <c r="R54" s="19">
        <f t="shared" si="1"/>
        <v>81738</v>
      </c>
      <c r="S54" s="1" t="s">
        <v>129</v>
      </c>
    </row>
    <row r="55" spans="1:25" ht="15" customHeight="1" x14ac:dyDescent="0.25">
      <c r="A55" s="20" t="s">
        <v>21</v>
      </c>
      <c r="B55" s="11" t="s">
        <v>17</v>
      </c>
      <c r="C55" s="11" t="s">
        <v>832</v>
      </c>
      <c r="D55" s="12" t="s">
        <v>230</v>
      </c>
      <c r="E55" s="65">
        <v>45876</v>
      </c>
      <c r="F55" s="14" t="s">
        <v>231</v>
      </c>
      <c r="G55" s="14"/>
      <c r="H55" s="13">
        <v>45881</v>
      </c>
      <c r="I55" s="15" t="s">
        <v>109</v>
      </c>
      <c r="J55" s="16">
        <v>3.6</v>
      </c>
      <c r="K55" s="16">
        <f>+J55*P55</f>
        <v>91440</v>
      </c>
      <c r="L55" s="12"/>
      <c r="M55" s="48" t="s">
        <v>135</v>
      </c>
      <c r="N55" s="21" t="s">
        <v>136</v>
      </c>
      <c r="O55" s="15" t="s">
        <v>232</v>
      </c>
      <c r="P55" s="17">
        <v>25400</v>
      </c>
      <c r="Q55" s="18">
        <v>5.3</v>
      </c>
      <c r="R55" s="19">
        <f t="shared" si="1"/>
        <v>134620</v>
      </c>
      <c r="S55" s="22">
        <v>14504</v>
      </c>
      <c r="T55" s="22" t="s">
        <v>803</v>
      </c>
      <c r="U55" s="22" t="s">
        <v>804</v>
      </c>
      <c r="V55" s="56">
        <v>14350</v>
      </c>
      <c r="W55" s="56">
        <v>2296</v>
      </c>
      <c r="X55" s="56">
        <v>574</v>
      </c>
      <c r="Y55" s="56">
        <v>16072</v>
      </c>
    </row>
    <row r="56" spans="1:25" ht="15" customHeight="1" x14ac:dyDescent="0.25">
      <c r="A56" s="20" t="s">
        <v>21</v>
      </c>
      <c r="B56" s="11" t="s">
        <v>17</v>
      </c>
      <c r="C56" s="11" t="s">
        <v>833</v>
      </c>
      <c r="D56" s="12">
        <v>20789</v>
      </c>
      <c r="E56" s="65">
        <v>45876</v>
      </c>
      <c r="F56" s="14" t="s">
        <v>218</v>
      </c>
      <c r="G56" s="14"/>
      <c r="H56" s="13">
        <v>45881</v>
      </c>
      <c r="I56" s="15" t="s">
        <v>109</v>
      </c>
      <c r="J56" s="16">
        <v>3.2</v>
      </c>
      <c r="K56" s="16">
        <f>+J56*P56</f>
        <v>77984</v>
      </c>
      <c r="L56" s="12" t="s">
        <v>219</v>
      </c>
      <c r="M56" s="48" t="s">
        <v>110</v>
      </c>
      <c r="N56" s="21" t="s">
        <v>111</v>
      </c>
      <c r="O56" s="15" t="s">
        <v>220</v>
      </c>
      <c r="P56" s="17">
        <v>24370</v>
      </c>
      <c r="Q56" s="18">
        <v>5.3</v>
      </c>
      <c r="R56" s="19">
        <f t="shared" si="1"/>
        <v>129161</v>
      </c>
      <c r="S56" s="1">
        <v>21978</v>
      </c>
      <c r="T56" s="1" t="s">
        <v>811</v>
      </c>
      <c r="U56" s="1" t="s">
        <v>812</v>
      </c>
      <c r="V56" s="5">
        <v>47034.1</v>
      </c>
      <c r="W56" s="5">
        <v>7525.4560000000001</v>
      </c>
      <c r="X56" s="5">
        <v>1881.364</v>
      </c>
      <c r="Y56" s="5">
        <v>52678.191999999995</v>
      </c>
    </row>
    <row r="57" spans="1:25" ht="15" customHeight="1" x14ac:dyDescent="0.25">
      <c r="A57" s="20" t="s">
        <v>21</v>
      </c>
      <c r="B57" s="11" t="s">
        <v>17</v>
      </c>
      <c r="C57" s="11" t="s">
        <v>834</v>
      </c>
      <c r="D57" s="12">
        <v>23715</v>
      </c>
      <c r="E57" s="65">
        <v>45876</v>
      </c>
      <c r="F57" s="14" t="s">
        <v>178</v>
      </c>
      <c r="G57" s="14"/>
      <c r="H57" s="13">
        <v>45877</v>
      </c>
      <c r="I57" s="15" t="s">
        <v>30</v>
      </c>
      <c r="J57" s="16">
        <v>3.6</v>
      </c>
      <c r="K57" s="16">
        <f>+J57*P57</f>
        <v>86436</v>
      </c>
      <c r="L57" s="12"/>
      <c r="M57" s="48" t="s">
        <v>73</v>
      </c>
      <c r="N57" s="21" t="s">
        <v>74</v>
      </c>
      <c r="O57" s="15" t="s">
        <v>179</v>
      </c>
      <c r="P57" s="17">
        <v>24010</v>
      </c>
      <c r="Q57" s="18">
        <v>4.5</v>
      </c>
      <c r="R57" s="19">
        <f t="shared" si="1"/>
        <v>108045</v>
      </c>
      <c r="S57" s="55" t="s">
        <v>129</v>
      </c>
    </row>
    <row r="58" spans="1:25" ht="15" customHeight="1" x14ac:dyDescent="0.25">
      <c r="A58" s="20" t="s">
        <v>21</v>
      </c>
      <c r="B58" s="11" t="s">
        <v>17</v>
      </c>
      <c r="C58" s="11" t="s">
        <v>834</v>
      </c>
      <c r="D58" s="12">
        <v>23716</v>
      </c>
      <c r="E58" s="65">
        <v>45876</v>
      </c>
      <c r="F58" s="14" t="s">
        <v>180</v>
      </c>
      <c r="G58" s="14"/>
      <c r="H58" s="13">
        <v>45877</v>
      </c>
      <c r="I58" s="15" t="s">
        <v>30</v>
      </c>
      <c r="J58" s="16">
        <v>3.6</v>
      </c>
      <c r="K58" s="16">
        <f>+J58*P58</f>
        <v>89712</v>
      </c>
      <c r="L58" s="12"/>
      <c r="M58" s="48" t="s">
        <v>73</v>
      </c>
      <c r="N58" s="21" t="s">
        <v>74</v>
      </c>
      <c r="O58" s="15" t="s">
        <v>181</v>
      </c>
      <c r="P58" s="17">
        <v>24920</v>
      </c>
      <c r="Q58" s="18">
        <v>4.5</v>
      </c>
      <c r="R58" s="19">
        <f t="shared" si="1"/>
        <v>112140</v>
      </c>
      <c r="S58" s="55" t="s">
        <v>129</v>
      </c>
    </row>
    <row r="59" spans="1:25" ht="15" customHeight="1" x14ac:dyDescent="0.25">
      <c r="A59" s="20" t="s">
        <v>21</v>
      </c>
      <c r="B59" s="11" t="s">
        <v>17</v>
      </c>
      <c r="C59" s="11" t="s">
        <v>835</v>
      </c>
      <c r="D59" s="12">
        <v>148458</v>
      </c>
      <c r="E59" s="65">
        <v>45876</v>
      </c>
      <c r="F59" s="14" t="s">
        <v>138</v>
      </c>
      <c r="G59" s="14"/>
      <c r="H59" s="13">
        <v>45876</v>
      </c>
      <c r="I59" s="15" t="s">
        <v>139</v>
      </c>
      <c r="J59" s="16">
        <v>3.6</v>
      </c>
      <c r="K59" s="16">
        <f>+J59*P59</f>
        <v>38026.800000000003</v>
      </c>
      <c r="L59" s="12" t="s">
        <v>140</v>
      </c>
      <c r="M59" s="48" t="s">
        <v>141</v>
      </c>
      <c r="N59" s="21" t="s">
        <v>142</v>
      </c>
      <c r="O59" s="15" t="s">
        <v>143</v>
      </c>
      <c r="P59" s="17">
        <v>10563</v>
      </c>
      <c r="Q59" s="18">
        <v>3.88</v>
      </c>
      <c r="R59" s="19">
        <f t="shared" si="1"/>
        <v>40984.44</v>
      </c>
      <c r="S59" s="55" t="s">
        <v>129</v>
      </c>
    </row>
    <row r="60" spans="1:25" ht="15" customHeight="1" x14ac:dyDescent="0.25">
      <c r="A60" s="20" t="s">
        <v>21</v>
      </c>
      <c r="B60" s="11" t="s">
        <v>17</v>
      </c>
      <c r="C60" s="11" t="s">
        <v>837</v>
      </c>
      <c r="D60" s="12">
        <v>114350</v>
      </c>
      <c r="E60" s="65">
        <v>45876</v>
      </c>
      <c r="F60" s="14" t="s">
        <v>169</v>
      </c>
      <c r="G60" s="14"/>
      <c r="H60" s="13">
        <v>45877</v>
      </c>
      <c r="I60" s="15" t="s">
        <v>30</v>
      </c>
      <c r="J60" s="16">
        <v>3.6</v>
      </c>
      <c r="K60" s="16">
        <f>+J60*P60</f>
        <v>78804</v>
      </c>
      <c r="L60" s="12" t="s">
        <v>170</v>
      </c>
      <c r="M60" s="48" t="s">
        <v>49</v>
      </c>
      <c r="N60" s="21" t="s">
        <v>50</v>
      </c>
      <c r="O60" s="15" t="s">
        <v>171</v>
      </c>
      <c r="P60" s="17">
        <v>21890</v>
      </c>
      <c r="Q60" s="18">
        <v>4.5999999999999996</v>
      </c>
      <c r="R60" s="19">
        <f t="shared" si="1"/>
        <v>100693.99999999999</v>
      </c>
      <c r="S60" s="55" t="s">
        <v>129</v>
      </c>
    </row>
    <row r="61" spans="1:25" ht="15" customHeight="1" x14ac:dyDescent="0.25">
      <c r="A61" s="20" t="s">
        <v>21</v>
      </c>
      <c r="B61" s="11" t="s">
        <v>17</v>
      </c>
      <c r="C61" s="11" t="s">
        <v>837</v>
      </c>
      <c r="D61" s="12">
        <v>114353</v>
      </c>
      <c r="E61" s="65">
        <v>45876</v>
      </c>
      <c r="F61" s="14" t="s">
        <v>172</v>
      </c>
      <c r="G61" s="14"/>
      <c r="H61" s="13">
        <v>45877</v>
      </c>
      <c r="I61" s="15" t="s">
        <v>30</v>
      </c>
      <c r="J61" s="16">
        <v>3.6</v>
      </c>
      <c r="K61" s="16">
        <f>+J61*P61</f>
        <v>75420</v>
      </c>
      <c r="L61" s="12" t="s">
        <v>173</v>
      </c>
      <c r="M61" s="48" t="s">
        <v>49</v>
      </c>
      <c r="N61" s="21" t="s">
        <v>50</v>
      </c>
      <c r="O61" s="15" t="s">
        <v>174</v>
      </c>
      <c r="P61" s="17">
        <v>20950</v>
      </c>
      <c r="Q61" s="18">
        <v>4.5999999999999996</v>
      </c>
      <c r="R61" s="19">
        <f t="shared" si="1"/>
        <v>96369.999999999985</v>
      </c>
      <c r="S61" s="55" t="s">
        <v>129</v>
      </c>
    </row>
    <row r="62" spans="1:25" ht="15" customHeight="1" x14ac:dyDescent="0.25">
      <c r="A62" s="20" t="s">
        <v>21</v>
      </c>
      <c r="B62" s="11" t="s">
        <v>17</v>
      </c>
      <c r="C62" s="11" t="s">
        <v>837</v>
      </c>
      <c r="D62" s="12">
        <v>114354</v>
      </c>
      <c r="E62" s="65">
        <v>45876</v>
      </c>
      <c r="F62" s="14" t="s">
        <v>175</v>
      </c>
      <c r="G62" s="14"/>
      <c r="H62" s="13">
        <v>45877</v>
      </c>
      <c r="I62" s="15" t="s">
        <v>30</v>
      </c>
      <c r="J62" s="16">
        <v>3.6</v>
      </c>
      <c r="K62" s="16">
        <f>+J62*P62</f>
        <v>65628</v>
      </c>
      <c r="L62" s="12" t="s">
        <v>176</v>
      </c>
      <c r="M62" s="48" t="s">
        <v>49</v>
      </c>
      <c r="N62" s="21" t="s">
        <v>50</v>
      </c>
      <c r="O62" s="15" t="s">
        <v>177</v>
      </c>
      <c r="P62" s="17">
        <v>18230</v>
      </c>
      <c r="Q62" s="18">
        <v>4.5999999999999996</v>
      </c>
      <c r="R62" s="19">
        <f t="shared" si="1"/>
        <v>83858</v>
      </c>
      <c r="S62" s="55" t="s">
        <v>129</v>
      </c>
    </row>
    <row r="63" spans="1:25" ht="15" customHeight="1" x14ac:dyDescent="0.25">
      <c r="A63" s="20" t="s">
        <v>21</v>
      </c>
      <c r="B63" s="11" t="s">
        <v>17</v>
      </c>
      <c r="C63" s="11" t="s">
        <v>837</v>
      </c>
      <c r="D63" s="12">
        <v>114351</v>
      </c>
      <c r="E63" s="65">
        <v>45876</v>
      </c>
      <c r="F63" s="14" t="s">
        <v>199</v>
      </c>
      <c r="G63" s="14"/>
      <c r="H63" s="13">
        <v>45877</v>
      </c>
      <c r="I63" s="15" t="s">
        <v>67</v>
      </c>
      <c r="J63" s="16">
        <v>1</v>
      </c>
      <c r="K63" s="16">
        <f>+J63*P63</f>
        <v>4290</v>
      </c>
      <c r="L63" s="12"/>
      <c r="M63" s="48" t="s">
        <v>49</v>
      </c>
      <c r="N63" s="21" t="s">
        <v>50</v>
      </c>
      <c r="O63" s="15" t="s">
        <v>200</v>
      </c>
      <c r="P63" s="17">
        <v>4290</v>
      </c>
      <c r="Q63" s="18">
        <v>1.2</v>
      </c>
      <c r="R63" s="19">
        <f t="shared" si="1"/>
        <v>5148</v>
      </c>
      <c r="S63" s="55" t="s">
        <v>129</v>
      </c>
    </row>
    <row r="64" spans="1:25" ht="15" customHeight="1" x14ac:dyDescent="0.25">
      <c r="A64" s="20" t="s">
        <v>21</v>
      </c>
      <c r="B64" s="11" t="s">
        <v>17</v>
      </c>
      <c r="C64" s="11" t="s">
        <v>837</v>
      </c>
      <c r="D64" s="12">
        <v>114352</v>
      </c>
      <c r="E64" s="65">
        <v>45876</v>
      </c>
      <c r="F64" s="14" t="s">
        <v>201</v>
      </c>
      <c r="G64" s="14"/>
      <c r="H64" s="13">
        <v>45877</v>
      </c>
      <c r="I64" s="15" t="s">
        <v>67</v>
      </c>
      <c r="J64" s="16">
        <v>1</v>
      </c>
      <c r="K64" s="16">
        <f>+J64*P64</f>
        <v>3810</v>
      </c>
      <c r="L64" s="12" t="s">
        <v>202</v>
      </c>
      <c r="M64" s="48" t="s">
        <v>49</v>
      </c>
      <c r="N64" s="21" t="s">
        <v>50</v>
      </c>
      <c r="O64" s="15" t="s">
        <v>203</v>
      </c>
      <c r="P64" s="17">
        <v>3810</v>
      </c>
      <c r="Q64" s="18">
        <v>1.2</v>
      </c>
      <c r="R64" s="19">
        <f t="shared" si="1"/>
        <v>4572</v>
      </c>
      <c r="S64" s="55" t="s">
        <v>129</v>
      </c>
    </row>
    <row r="65" spans="1:25" ht="15" customHeight="1" x14ac:dyDescent="0.25">
      <c r="A65" s="20" t="s">
        <v>21</v>
      </c>
      <c r="B65" s="11" t="s">
        <v>17</v>
      </c>
      <c r="C65" s="11" t="s">
        <v>838</v>
      </c>
      <c r="D65" s="12">
        <v>114421</v>
      </c>
      <c r="E65" s="65">
        <v>45876</v>
      </c>
      <c r="F65" s="14" t="s">
        <v>184</v>
      </c>
      <c r="G65" s="14"/>
      <c r="H65" s="13">
        <v>45877</v>
      </c>
      <c r="I65" s="15" t="s">
        <v>30</v>
      </c>
      <c r="J65" s="16">
        <v>3.6</v>
      </c>
      <c r="K65" s="16">
        <f>+J65*P65</f>
        <v>66024</v>
      </c>
      <c r="L65" s="12" t="s">
        <v>185</v>
      </c>
      <c r="M65" s="48" t="s">
        <v>81</v>
      </c>
      <c r="N65" s="21" t="s">
        <v>82</v>
      </c>
      <c r="O65" s="15" t="s">
        <v>186</v>
      </c>
      <c r="P65" s="17">
        <v>18340</v>
      </c>
      <c r="Q65" s="18">
        <v>5.37</v>
      </c>
      <c r="R65" s="19">
        <f t="shared" si="1"/>
        <v>98485.8</v>
      </c>
      <c r="S65" s="1">
        <v>8709</v>
      </c>
      <c r="T65" s="1" t="s">
        <v>823</v>
      </c>
      <c r="U65" s="1" t="s">
        <v>824</v>
      </c>
      <c r="V65" s="5">
        <v>7505</v>
      </c>
      <c r="W65" s="5">
        <v>1200.8</v>
      </c>
      <c r="X65" s="5">
        <v>300.2</v>
      </c>
      <c r="Y65" s="5">
        <v>8405.5999999999985</v>
      </c>
    </row>
    <row r="66" spans="1:25" ht="15" customHeight="1" x14ac:dyDescent="0.25">
      <c r="A66" s="20" t="s">
        <v>21</v>
      </c>
      <c r="B66" s="11" t="s">
        <v>17</v>
      </c>
      <c r="C66" s="11" t="s">
        <v>833</v>
      </c>
      <c r="D66" s="12">
        <v>20790</v>
      </c>
      <c r="E66" s="65">
        <v>45877</v>
      </c>
      <c r="F66" s="14" t="s">
        <v>221</v>
      </c>
      <c r="G66" s="14"/>
      <c r="H66" s="13">
        <v>45881</v>
      </c>
      <c r="I66" s="15" t="s">
        <v>109</v>
      </c>
      <c r="J66" s="16">
        <v>3.2</v>
      </c>
      <c r="K66" s="16">
        <f>+J66*P66</f>
        <v>71456</v>
      </c>
      <c r="L66" s="12" t="s">
        <v>222</v>
      </c>
      <c r="M66" s="48" t="s">
        <v>110</v>
      </c>
      <c r="N66" s="21" t="s">
        <v>111</v>
      </c>
      <c r="O66" s="15" t="s">
        <v>223</v>
      </c>
      <c r="P66" s="17">
        <v>22330</v>
      </c>
      <c r="Q66" s="18">
        <v>5.3</v>
      </c>
      <c r="R66" s="19">
        <f t="shared" si="1"/>
        <v>118349</v>
      </c>
      <c r="S66" s="1">
        <v>3309</v>
      </c>
      <c r="T66" s="1" t="s">
        <v>813</v>
      </c>
      <c r="U66" s="1" t="s">
        <v>814</v>
      </c>
      <c r="V66" s="5">
        <v>43096.9</v>
      </c>
      <c r="W66" s="5">
        <v>6895.5040000000008</v>
      </c>
      <c r="X66" s="5">
        <v>1723.8760000000002</v>
      </c>
      <c r="Y66" s="5">
        <v>48268.528000000006</v>
      </c>
    </row>
    <row r="67" spans="1:25" ht="15" customHeight="1" x14ac:dyDescent="0.25">
      <c r="A67" s="20" t="s">
        <v>21</v>
      </c>
      <c r="B67" s="11" t="s">
        <v>17</v>
      </c>
      <c r="C67" s="11" t="s">
        <v>834</v>
      </c>
      <c r="D67" s="12">
        <v>23717</v>
      </c>
      <c r="E67" s="65">
        <v>45877</v>
      </c>
      <c r="F67" s="14" t="s">
        <v>182</v>
      </c>
      <c r="G67" s="14"/>
      <c r="H67" s="13">
        <v>45877</v>
      </c>
      <c r="I67" s="15" t="s">
        <v>30</v>
      </c>
      <c r="J67" s="16">
        <v>3.6</v>
      </c>
      <c r="K67" s="16">
        <f>+J67*P67</f>
        <v>89424</v>
      </c>
      <c r="L67" s="12"/>
      <c r="M67" s="48" t="s">
        <v>73</v>
      </c>
      <c r="N67" s="21" t="s">
        <v>74</v>
      </c>
      <c r="O67" s="15" t="s">
        <v>183</v>
      </c>
      <c r="P67" s="17">
        <v>24840</v>
      </c>
      <c r="Q67" s="18">
        <v>4.5</v>
      </c>
      <c r="R67" s="19">
        <f t="shared" ref="R67:R98" si="2">+P67*Q67</f>
        <v>111780</v>
      </c>
      <c r="S67" s="55" t="s">
        <v>129</v>
      </c>
    </row>
    <row r="68" spans="1:25" s="22" customFormat="1" ht="15" customHeight="1" x14ac:dyDescent="0.25">
      <c r="A68" s="20" t="s">
        <v>21</v>
      </c>
      <c r="B68" s="11" t="s">
        <v>17</v>
      </c>
      <c r="C68" s="11" t="s">
        <v>834</v>
      </c>
      <c r="D68" s="12">
        <v>23718</v>
      </c>
      <c r="E68" s="65">
        <v>45877</v>
      </c>
      <c r="F68" s="14" t="s">
        <v>239</v>
      </c>
      <c r="G68" s="14"/>
      <c r="H68" s="13">
        <v>45882</v>
      </c>
      <c r="I68" s="13" t="s">
        <v>30</v>
      </c>
      <c r="J68" s="16">
        <v>3.6</v>
      </c>
      <c r="K68" s="16">
        <f>+J68*P68</f>
        <v>85320</v>
      </c>
      <c r="L68" s="12"/>
      <c r="M68" s="48" t="s">
        <v>73</v>
      </c>
      <c r="N68" s="21" t="s">
        <v>74</v>
      </c>
      <c r="O68" s="15" t="s">
        <v>240</v>
      </c>
      <c r="P68" s="17">
        <v>23700</v>
      </c>
      <c r="Q68" s="18">
        <v>4.5</v>
      </c>
      <c r="R68" s="19">
        <f t="shared" si="2"/>
        <v>106650</v>
      </c>
      <c r="S68" s="55" t="s">
        <v>129</v>
      </c>
      <c r="T68" s="1"/>
      <c r="U68" s="1"/>
      <c r="V68" s="5"/>
      <c r="W68" s="5"/>
      <c r="X68" s="5"/>
      <c r="Y68" s="5"/>
    </row>
    <row r="69" spans="1:25" s="22" customFormat="1" ht="15" customHeight="1" x14ac:dyDescent="0.25">
      <c r="A69" s="20" t="s">
        <v>21</v>
      </c>
      <c r="B69" s="11" t="s">
        <v>17</v>
      </c>
      <c r="C69" s="11" t="s">
        <v>834</v>
      </c>
      <c r="D69" s="12">
        <v>23719</v>
      </c>
      <c r="E69" s="65">
        <v>45877</v>
      </c>
      <c r="F69" s="14" t="s">
        <v>241</v>
      </c>
      <c r="G69" s="14"/>
      <c r="H69" s="13">
        <v>45882</v>
      </c>
      <c r="I69" s="13" t="s">
        <v>30</v>
      </c>
      <c r="J69" s="16">
        <v>3.6</v>
      </c>
      <c r="K69" s="16">
        <f>+J69*P69</f>
        <v>88380</v>
      </c>
      <c r="L69" s="12"/>
      <c r="M69" s="48" t="s">
        <v>73</v>
      </c>
      <c r="N69" s="21" t="s">
        <v>74</v>
      </c>
      <c r="O69" s="15" t="s">
        <v>242</v>
      </c>
      <c r="P69" s="17">
        <v>24550</v>
      </c>
      <c r="Q69" s="18">
        <v>4.5</v>
      </c>
      <c r="R69" s="19">
        <f t="shared" si="2"/>
        <v>110475</v>
      </c>
      <c r="S69" s="55" t="s">
        <v>129</v>
      </c>
      <c r="T69" s="1"/>
      <c r="U69" s="1"/>
      <c r="V69" s="5"/>
      <c r="W69" s="5"/>
      <c r="X69" s="5"/>
      <c r="Y69" s="5"/>
    </row>
    <row r="70" spans="1:25" ht="15" customHeight="1" x14ac:dyDescent="0.25">
      <c r="A70" s="20" t="s">
        <v>21</v>
      </c>
      <c r="B70" s="11" t="s">
        <v>17</v>
      </c>
      <c r="C70" s="11" t="s">
        <v>836</v>
      </c>
      <c r="D70" s="12" t="s">
        <v>144</v>
      </c>
      <c r="E70" s="65">
        <v>45877</v>
      </c>
      <c r="F70" s="14" t="s">
        <v>145</v>
      </c>
      <c r="G70" s="14"/>
      <c r="H70" s="13">
        <v>45877</v>
      </c>
      <c r="I70" s="15" t="s">
        <v>30</v>
      </c>
      <c r="J70" s="16">
        <v>3.6</v>
      </c>
      <c r="K70" s="16">
        <f>+J70*P70</f>
        <v>88344</v>
      </c>
      <c r="L70" s="12" t="s">
        <v>146</v>
      </c>
      <c r="M70" s="48" t="s">
        <v>32</v>
      </c>
      <c r="N70" s="21" t="s">
        <v>33</v>
      </c>
      <c r="O70" s="15" t="s">
        <v>147</v>
      </c>
      <c r="P70" s="17">
        <v>24540</v>
      </c>
      <c r="Q70" s="18">
        <v>5.39</v>
      </c>
      <c r="R70" s="19">
        <f t="shared" si="2"/>
        <v>132270.6</v>
      </c>
      <c r="S70" s="1">
        <v>3399</v>
      </c>
      <c r="T70" s="1" t="s">
        <v>821</v>
      </c>
      <c r="U70" s="1" t="s">
        <v>822</v>
      </c>
      <c r="V70" s="5">
        <v>16196.400000000001</v>
      </c>
      <c r="W70" s="5">
        <v>2591.4240000000004</v>
      </c>
      <c r="X70" s="5">
        <v>647.85600000000011</v>
      </c>
      <c r="Y70" s="5">
        <v>18139.968000000001</v>
      </c>
    </row>
    <row r="71" spans="1:25" s="22" customFormat="1" ht="15" customHeight="1" x14ac:dyDescent="0.25">
      <c r="A71" s="20" t="s">
        <v>21</v>
      </c>
      <c r="B71" s="11" t="s">
        <v>17</v>
      </c>
      <c r="C71" s="11" t="s">
        <v>836</v>
      </c>
      <c r="D71" s="12" t="s">
        <v>148</v>
      </c>
      <c r="E71" s="65">
        <v>45877</v>
      </c>
      <c r="F71" s="14" t="s">
        <v>149</v>
      </c>
      <c r="G71" s="14"/>
      <c r="H71" s="13">
        <v>45877</v>
      </c>
      <c r="I71" s="15" t="s">
        <v>30</v>
      </c>
      <c r="J71" s="16">
        <v>3.6</v>
      </c>
      <c r="K71" s="16">
        <f>+J71*P71</f>
        <v>88272</v>
      </c>
      <c r="L71" s="12" t="s">
        <v>150</v>
      </c>
      <c r="M71" s="48" t="s">
        <v>32</v>
      </c>
      <c r="N71" s="21" t="s">
        <v>33</v>
      </c>
      <c r="O71" s="15" t="s">
        <v>151</v>
      </c>
      <c r="P71" s="17">
        <v>24520</v>
      </c>
      <c r="Q71" s="18">
        <v>5.39</v>
      </c>
      <c r="R71" s="19">
        <f t="shared" si="2"/>
        <v>132162.79999999999</v>
      </c>
      <c r="S71" s="1">
        <v>3420</v>
      </c>
      <c r="T71" s="1" t="s">
        <v>821</v>
      </c>
      <c r="U71" s="1" t="s">
        <v>822</v>
      </c>
      <c r="V71" s="5">
        <v>16183.2</v>
      </c>
      <c r="W71" s="5">
        <v>2589.3120000000004</v>
      </c>
      <c r="X71" s="5">
        <v>647.32800000000009</v>
      </c>
      <c r="Y71" s="5">
        <v>18125.184000000001</v>
      </c>
    </row>
    <row r="72" spans="1:25" ht="15" customHeight="1" x14ac:dyDescent="0.25">
      <c r="A72" s="20" t="s">
        <v>21</v>
      </c>
      <c r="B72" s="11" t="s">
        <v>17</v>
      </c>
      <c r="C72" s="11" t="s">
        <v>836</v>
      </c>
      <c r="D72" s="12" t="s">
        <v>152</v>
      </c>
      <c r="E72" s="65">
        <v>45877</v>
      </c>
      <c r="F72" s="14" t="s">
        <v>153</v>
      </c>
      <c r="G72" s="14"/>
      <c r="H72" s="13">
        <v>45877</v>
      </c>
      <c r="I72" s="15" t="s">
        <v>30</v>
      </c>
      <c r="J72" s="16">
        <v>3.6</v>
      </c>
      <c r="K72" s="16">
        <f>+J72*P72</f>
        <v>89892</v>
      </c>
      <c r="L72" s="12" t="s">
        <v>154</v>
      </c>
      <c r="M72" s="48" t="s">
        <v>32</v>
      </c>
      <c r="N72" s="21" t="s">
        <v>33</v>
      </c>
      <c r="O72" s="15" t="s">
        <v>155</v>
      </c>
      <c r="P72" s="17">
        <v>24970</v>
      </c>
      <c r="Q72" s="18">
        <v>5.39</v>
      </c>
      <c r="R72" s="19">
        <f t="shared" si="2"/>
        <v>134588.29999999999</v>
      </c>
      <c r="S72" s="1">
        <v>3421</v>
      </c>
      <c r="T72" s="1" t="s">
        <v>821</v>
      </c>
      <c r="U72" s="1" t="s">
        <v>822</v>
      </c>
      <c r="V72" s="5">
        <v>16480.2</v>
      </c>
      <c r="W72" s="5">
        <v>2636.8320000000003</v>
      </c>
      <c r="X72" s="5">
        <v>659.20800000000008</v>
      </c>
      <c r="Y72" s="5">
        <v>18457.824000000001</v>
      </c>
    </row>
    <row r="73" spans="1:25" ht="15" customHeight="1" x14ac:dyDescent="0.25">
      <c r="A73" s="20" t="s">
        <v>21</v>
      </c>
      <c r="B73" s="11" t="s">
        <v>17</v>
      </c>
      <c r="C73" s="11" t="s">
        <v>837</v>
      </c>
      <c r="D73" s="12">
        <v>114355</v>
      </c>
      <c r="E73" s="65">
        <v>45877</v>
      </c>
      <c r="F73" s="14" t="s">
        <v>771</v>
      </c>
      <c r="G73" s="14"/>
      <c r="H73" s="13">
        <v>45882</v>
      </c>
      <c r="I73" s="15" t="s">
        <v>30</v>
      </c>
      <c r="J73" s="16">
        <v>3.6</v>
      </c>
      <c r="K73" s="16">
        <f>+J73*P73</f>
        <v>68364</v>
      </c>
      <c r="L73" s="12" t="s">
        <v>249</v>
      </c>
      <c r="M73" s="48" t="s">
        <v>49</v>
      </c>
      <c r="N73" s="21" t="s">
        <v>50</v>
      </c>
      <c r="O73" s="15" t="s">
        <v>250</v>
      </c>
      <c r="P73" s="17">
        <v>18990</v>
      </c>
      <c r="Q73" s="18">
        <v>4.5999999999999996</v>
      </c>
      <c r="R73" s="19">
        <f t="shared" si="2"/>
        <v>87354</v>
      </c>
      <c r="S73" s="55" t="s">
        <v>129</v>
      </c>
    </row>
    <row r="74" spans="1:25" ht="15" customHeight="1" x14ac:dyDescent="0.25">
      <c r="A74" s="20" t="s">
        <v>21</v>
      </c>
      <c r="B74" s="11" t="s">
        <v>17</v>
      </c>
      <c r="C74" s="11" t="s">
        <v>837</v>
      </c>
      <c r="D74" s="12">
        <v>114358</v>
      </c>
      <c r="E74" s="65">
        <v>45877</v>
      </c>
      <c r="F74" s="14" t="s">
        <v>251</v>
      </c>
      <c r="G74" s="14"/>
      <c r="H74" s="13">
        <v>45882</v>
      </c>
      <c r="I74" s="15" t="s">
        <v>67</v>
      </c>
      <c r="J74" s="16">
        <v>1</v>
      </c>
      <c r="K74" s="16">
        <f>+J74*P74</f>
        <v>7660</v>
      </c>
      <c r="L74" s="12" t="s">
        <v>252</v>
      </c>
      <c r="M74" s="48" t="s">
        <v>49</v>
      </c>
      <c r="N74" s="21" t="s">
        <v>50</v>
      </c>
      <c r="O74" s="15" t="s">
        <v>253</v>
      </c>
      <c r="P74" s="17">
        <v>7660</v>
      </c>
      <c r="Q74" s="18">
        <v>1.2</v>
      </c>
      <c r="R74" s="19">
        <f t="shared" si="2"/>
        <v>9192</v>
      </c>
      <c r="S74" s="55" t="s">
        <v>129</v>
      </c>
    </row>
    <row r="75" spans="1:25" ht="15" customHeight="1" x14ac:dyDescent="0.25">
      <c r="A75" s="20" t="s">
        <v>21</v>
      </c>
      <c r="B75" s="11" t="s">
        <v>17</v>
      </c>
      <c r="C75" s="11" t="s">
        <v>837</v>
      </c>
      <c r="D75" s="12">
        <v>114357</v>
      </c>
      <c r="E75" s="65">
        <v>45877</v>
      </c>
      <c r="F75" s="14" t="s">
        <v>340</v>
      </c>
      <c r="G75" s="14"/>
      <c r="H75" s="13">
        <v>45884</v>
      </c>
      <c r="I75" s="15" t="s">
        <v>67</v>
      </c>
      <c r="J75" s="16">
        <v>1</v>
      </c>
      <c r="K75" s="16">
        <f>+J75*P75</f>
        <v>13320</v>
      </c>
      <c r="L75" s="12" t="s">
        <v>341</v>
      </c>
      <c r="M75" s="48" t="s">
        <v>49</v>
      </c>
      <c r="N75" s="21" t="s">
        <v>50</v>
      </c>
      <c r="O75" s="15" t="s">
        <v>342</v>
      </c>
      <c r="P75" s="17">
        <v>13320</v>
      </c>
      <c r="Q75" s="18">
        <v>1.2</v>
      </c>
      <c r="R75" s="19">
        <f t="shared" si="2"/>
        <v>15984</v>
      </c>
      <c r="S75" s="55" t="s">
        <v>129</v>
      </c>
    </row>
    <row r="76" spans="1:25" ht="15" customHeight="1" x14ac:dyDescent="0.25">
      <c r="A76" s="20" t="s">
        <v>21</v>
      </c>
      <c r="B76" s="11" t="s">
        <v>17</v>
      </c>
      <c r="C76" s="11" t="s">
        <v>838</v>
      </c>
      <c r="D76" s="12">
        <v>114422</v>
      </c>
      <c r="E76" s="65">
        <v>45877</v>
      </c>
      <c r="F76" s="14" t="s">
        <v>285</v>
      </c>
      <c r="G76" s="14"/>
      <c r="H76" s="13">
        <v>45883</v>
      </c>
      <c r="I76" s="15" t="s">
        <v>127</v>
      </c>
      <c r="J76" s="16">
        <v>3.6</v>
      </c>
      <c r="K76" s="16">
        <f>+J76*P76</f>
        <v>77292</v>
      </c>
      <c r="L76" s="12" t="s">
        <v>286</v>
      </c>
      <c r="M76" s="48" t="s">
        <v>287</v>
      </c>
      <c r="N76" s="21" t="s">
        <v>283</v>
      </c>
      <c r="O76" s="15" t="s">
        <v>288</v>
      </c>
      <c r="P76" s="17">
        <v>21470</v>
      </c>
      <c r="Q76" s="18">
        <v>3.8</v>
      </c>
      <c r="R76" s="19">
        <f t="shared" si="2"/>
        <v>81586</v>
      </c>
      <c r="S76" s="1" t="s">
        <v>129</v>
      </c>
    </row>
    <row r="77" spans="1:25" ht="15" customHeight="1" x14ac:dyDescent="0.25">
      <c r="A77" s="20" t="s">
        <v>21</v>
      </c>
      <c r="B77" s="11" t="s">
        <v>17</v>
      </c>
      <c r="C77" s="11" t="s">
        <v>838</v>
      </c>
      <c r="D77" s="12">
        <v>114423</v>
      </c>
      <c r="E77" s="65">
        <v>45877</v>
      </c>
      <c r="F77" s="14" t="s">
        <v>289</v>
      </c>
      <c r="G77" s="14"/>
      <c r="H77" s="13">
        <v>45883</v>
      </c>
      <c r="I77" s="15" t="s">
        <v>127</v>
      </c>
      <c r="J77" s="16">
        <v>3.6</v>
      </c>
      <c r="K77" s="16">
        <f>+J77*P77</f>
        <v>76932</v>
      </c>
      <c r="L77" s="12" t="s">
        <v>290</v>
      </c>
      <c r="M77" s="48" t="s">
        <v>287</v>
      </c>
      <c r="N77" s="21" t="s">
        <v>283</v>
      </c>
      <c r="O77" s="15" t="s">
        <v>291</v>
      </c>
      <c r="P77" s="17">
        <v>21370</v>
      </c>
      <c r="Q77" s="18">
        <v>3.8</v>
      </c>
      <c r="R77" s="19">
        <f t="shared" si="2"/>
        <v>81206</v>
      </c>
      <c r="S77" s="1" t="s">
        <v>129</v>
      </c>
    </row>
    <row r="78" spans="1:25" ht="15" customHeight="1" x14ac:dyDescent="0.25">
      <c r="A78" s="20" t="s">
        <v>21</v>
      </c>
      <c r="B78" s="11" t="s">
        <v>17</v>
      </c>
      <c r="C78" s="11" t="s">
        <v>838</v>
      </c>
      <c r="D78" s="12">
        <v>114424</v>
      </c>
      <c r="E78" s="65">
        <v>45877</v>
      </c>
      <c r="F78" s="14" t="s">
        <v>292</v>
      </c>
      <c r="G78" s="14"/>
      <c r="H78" s="13">
        <v>45883</v>
      </c>
      <c r="I78" s="15" t="s">
        <v>127</v>
      </c>
      <c r="J78" s="16">
        <v>3.6</v>
      </c>
      <c r="K78" s="16">
        <f>+J78*P78</f>
        <v>75564</v>
      </c>
      <c r="L78" s="12" t="s">
        <v>293</v>
      </c>
      <c r="M78" s="48" t="s">
        <v>287</v>
      </c>
      <c r="N78" s="21" t="s">
        <v>283</v>
      </c>
      <c r="O78" s="15" t="s">
        <v>294</v>
      </c>
      <c r="P78" s="17">
        <v>20990</v>
      </c>
      <c r="Q78" s="18">
        <v>3.8</v>
      </c>
      <c r="R78" s="19">
        <f t="shared" si="2"/>
        <v>79762</v>
      </c>
      <c r="S78" s="1" t="s">
        <v>129</v>
      </c>
    </row>
    <row r="79" spans="1:25" ht="15" customHeight="1" x14ac:dyDescent="0.25">
      <c r="A79" s="20" t="s">
        <v>21</v>
      </c>
      <c r="B79" s="11" t="s">
        <v>17</v>
      </c>
      <c r="C79" s="11" t="s">
        <v>832</v>
      </c>
      <c r="D79" s="12" t="s">
        <v>236</v>
      </c>
      <c r="E79" s="65">
        <v>45878</v>
      </c>
      <c r="F79" s="14" t="s">
        <v>237</v>
      </c>
      <c r="G79" s="14"/>
      <c r="H79" s="13">
        <v>45881</v>
      </c>
      <c r="I79" s="15" t="s">
        <v>109</v>
      </c>
      <c r="J79" s="16">
        <v>3.6</v>
      </c>
      <c r="K79" s="16">
        <f>+J79*P79</f>
        <v>81288</v>
      </c>
      <c r="L79" s="12"/>
      <c r="M79" s="48" t="s">
        <v>135</v>
      </c>
      <c r="N79" s="21" t="s">
        <v>136</v>
      </c>
      <c r="O79" s="15" t="s">
        <v>238</v>
      </c>
      <c r="P79" s="17">
        <v>22580</v>
      </c>
      <c r="Q79" s="18">
        <v>5.3</v>
      </c>
      <c r="R79" s="19">
        <f t="shared" si="2"/>
        <v>119674</v>
      </c>
      <c r="S79" s="22">
        <v>14195</v>
      </c>
      <c r="T79" s="22" t="s">
        <v>803</v>
      </c>
      <c r="U79" s="22" t="s">
        <v>804</v>
      </c>
      <c r="V79" s="56">
        <v>14350</v>
      </c>
      <c r="W79" s="56">
        <v>2296</v>
      </c>
      <c r="X79" s="56">
        <v>574</v>
      </c>
      <c r="Y79" s="56">
        <v>16072</v>
      </c>
    </row>
    <row r="80" spans="1:25" ht="15" customHeight="1" x14ac:dyDescent="0.25">
      <c r="A80" s="20" t="s">
        <v>21</v>
      </c>
      <c r="B80" s="11" t="s">
        <v>17</v>
      </c>
      <c r="C80" s="11" t="s">
        <v>833</v>
      </c>
      <c r="D80" s="12">
        <v>20791</v>
      </c>
      <c r="E80" s="65">
        <v>45878</v>
      </c>
      <c r="F80" s="14" t="s">
        <v>224</v>
      </c>
      <c r="G80" s="14"/>
      <c r="H80" s="13">
        <v>45881</v>
      </c>
      <c r="I80" s="15" t="s">
        <v>109</v>
      </c>
      <c r="J80" s="16">
        <v>3.2</v>
      </c>
      <c r="K80" s="16">
        <f>+J80*P80</f>
        <v>76960</v>
      </c>
      <c r="L80" s="12" t="s">
        <v>225</v>
      </c>
      <c r="M80" s="48" t="s">
        <v>110</v>
      </c>
      <c r="N80" s="21" t="s">
        <v>111</v>
      </c>
      <c r="O80" s="15" t="s">
        <v>226</v>
      </c>
      <c r="P80" s="17">
        <v>24050</v>
      </c>
      <c r="Q80" s="18">
        <v>5.3</v>
      </c>
      <c r="R80" s="19">
        <f t="shared" si="2"/>
        <v>127465</v>
      </c>
      <c r="S80" s="1">
        <v>1010</v>
      </c>
      <c r="T80" s="1" t="s">
        <v>805</v>
      </c>
      <c r="U80" s="1" t="s">
        <v>806</v>
      </c>
      <c r="V80" s="5">
        <v>46416.5</v>
      </c>
      <c r="W80" s="5">
        <v>7426.64</v>
      </c>
      <c r="X80" s="5">
        <v>1856.66</v>
      </c>
      <c r="Y80" s="5">
        <v>51986.479999999996</v>
      </c>
    </row>
    <row r="81" spans="1:25" ht="15" customHeight="1" x14ac:dyDescent="0.25">
      <c r="A81" s="20" t="s">
        <v>21</v>
      </c>
      <c r="B81" s="11" t="s">
        <v>17</v>
      </c>
      <c r="C81" s="11" t="s">
        <v>833</v>
      </c>
      <c r="D81" s="12">
        <v>20793</v>
      </c>
      <c r="E81" s="65">
        <v>45878</v>
      </c>
      <c r="F81" s="14" t="s">
        <v>233</v>
      </c>
      <c r="G81" s="14"/>
      <c r="H81" s="13">
        <v>45881</v>
      </c>
      <c r="I81" s="15" t="s">
        <v>109</v>
      </c>
      <c r="J81" s="16">
        <v>3.2</v>
      </c>
      <c r="K81" s="16">
        <f>+J81*P81</f>
        <v>81728</v>
      </c>
      <c r="L81" s="12" t="s">
        <v>234</v>
      </c>
      <c r="M81" s="48" t="s">
        <v>110</v>
      </c>
      <c r="N81" s="21" t="s">
        <v>111</v>
      </c>
      <c r="O81" s="15" t="s">
        <v>235</v>
      </c>
      <c r="P81" s="17">
        <v>25540</v>
      </c>
      <c r="Q81" s="18">
        <v>5.3</v>
      </c>
      <c r="R81" s="19">
        <f t="shared" si="2"/>
        <v>135362</v>
      </c>
      <c r="S81" s="1">
        <v>19952</v>
      </c>
      <c r="T81" s="1" t="s">
        <v>807</v>
      </c>
      <c r="U81" s="1" t="s">
        <v>808</v>
      </c>
      <c r="V81" s="5">
        <v>49292.2</v>
      </c>
      <c r="W81" s="5">
        <v>7886.7519999999995</v>
      </c>
      <c r="X81" s="5">
        <v>1971.6879999999999</v>
      </c>
      <c r="Y81" s="5">
        <v>55207.263999999996</v>
      </c>
    </row>
    <row r="82" spans="1:25" ht="15" customHeight="1" x14ac:dyDescent="0.25">
      <c r="A82" s="20" t="s">
        <v>21</v>
      </c>
      <c r="B82" s="11" t="s">
        <v>17</v>
      </c>
      <c r="C82" s="11" t="s">
        <v>836</v>
      </c>
      <c r="D82" s="12" t="s">
        <v>308</v>
      </c>
      <c r="E82" s="65">
        <v>45878</v>
      </c>
      <c r="F82" s="14" t="s">
        <v>309</v>
      </c>
      <c r="G82" s="14"/>
      <c r="H82" s="13">
        <v>45884</v>
      </c>
      <c r="I82" s="15" t="s">
        <v>30</v>
      </c>
      <c r="J82" s="16">
        <v>3.6</v>
      </c>
      <c r="K82" s="16">
        <f>+J82*P82</f>
        <v>89604</v>
      </c>
      <c r="L82" s="12" t="s">
        <v>310</v>
      </c>
      <c r="M82" s="48" t="s">
        <v>32</v>
      </c>
      <c r="N82" s="21" t="s">
        <v>33</v>
      </c>
      <c r="O82" s="15" t="s">
        <v>311</v>
      </c>
      <c r="P82" s="17">
        <v>24890</v>
      </c>
      <c r="Q82" s="18">
        <v>5.39</v>
      </c>
      <c r="R82" s="19">
        <f t="shared" si="2"/>
        <v>134157.1</v>
      </c>
      <c r="S82" s="1">
        <v>3422</v>
      </c>
      <c r="T82" s="1" t="s">
        <v>821</v>
      </c>
      <c r="U82" s="1" t="s">
        <v>822</v>
      </c>
      <c r="V82" s="5">
        <v>16427.400000000001</v>
      </c>
      <c r="W82" s="5">
        <v>2628.3840000000005</v>
      </c>
      <c r="X82" s="5">
        <v>657.09600000000012</v>
      </c>
      <c r="Y82" s="5">
        <v>18398.688000000002</v>
      </c>
    </row>
    <row r="83" spans="1:25" ht="15" customHeight="1" x14ac:dyDescent="0.25">
      <c r="A83" s="20" t="s">
        <v>21</v>
      </c>
      <c r="B83" s="11" t="s">
        <v>17</v>
      </c>
      <c r="C83" s="11" t="s">
        <v>837</v>
      </c>
      <c r="D83" s="12">
        <v>114359</v>
      </c>
      <c r="E83" s="65">
        <v>45878</v>
      </c>
      <c r="F83" s="14" t="s">
        <v>254</v>
      </c>
      <c r="G83" s="14"/>
      <c r="H83" s="13">
        <v>45882</v>
      </c>
      <c r="I83" s="15" t="s">
        <v>67</v>
      </c>
      <c r="J83" s="16">
        <v>1</v>
      </c>
      <c r="K83" s="16">
        <f>+J83*P83</f>
        <v>7640</v>
      </c>
      <c r="L83" s="12" t="s">
        <v>255</v>
      </c>
      <c r="M83" s="48" t="s">
        <v>49</v>
      </c>
      <c r="N83" s="21" t="s">
        <v>50</v>
      </c>
      <c r="O83" s="15" t="s">
        <v>256</v>
      </c>
      <c r="P83" s="17">
        <v>7640</v>
      </c>
      <c r="Q83" s="18">
        <v>1.2</v>
      </c>
      <c r="R83" s="19">
        <f t="shared" si="2"/>
        <v>9168</v>
      </c>
      <c r="S83" s="55" t="s">
        <v>129</v>
      </c>
    </row>
    <row r="84" spans="1:25" ht="15" customHeight="1" x14ac:dyDescent="0.25">
      <c r="A84" s="20" t="s">
        <v>21</v>
      </c>
      <c r="B84" s="11" t="s">
        <v>17</v>
      </c>
      <c r="C84" s="11" t="s">
        <v>837</v>
      </c>
      <c r="D84" s="12">
        <v>114360</v>
      </c>
      <c r="E84" s="65">
        <v>45878</v>
      </c>
      <c r="F84" s="14" t="s">
        <v>766</v>
      </c>
      <c r="G84" s="14"/>
      <c r="H84" s="13">
        <v>45882</v>
      </c>
      <c r="I84" s="15" t="s">
        <v>30</v>
      </c>
      <c r="J84" s="16">
        <v>3.6</v>
      </c>
      <c r="K84" s="16">
        <f>+J84*P84</f>
        <v>69516</v>
      </c>
      <c r="L84" s="12" t="s">
        <v>257</v>
      </c>
      <c r="M84" s="48" t="s">
        <v>49</v>
      </c>
      <c r="N84" s="21" t="s">
        <v>50</v>
      </c>
      <c r="O84" s="15" t="s">
        <v>258</v>
      </c>
      <c r="P84" s="17">
        <v>19310</v>
      </c>
      <c r="Q84" s="18">
        <v>4.5999999999999996</v>
      </c>
      <c r="R84" s="19">
        <f t="shared" si="2"/>
        <v>88826</v>
      </c>
      <c r="S84" s="55" t="s">
        <v>129</v>
      </c>
    </row>
    <row r="85" spans="1:25" ht="15" customHeight="1" x14ac:dyDescent="0.25">
      <c r="A85" s="20" t="s">
        <v>21</v>
      </c>
      <c r="B85" s="11" t="s">
        <v>17</v>
      </c>
      <c r="C85" s="11" t="s">
        <v>838</v>
      </c>
      <c r="D85" s="12">
        <v>114428</v>
      </c>
      <c r="E85" s="65">
        <v>45878</v>
      </c>
      <c r="F85" s="14" t="s">
        <v>271</v>
      </c>
      <c r="G85" s="14"/>
      <c r="H85" s="13">
        <v>45883</v>
      </c>
      <c r="I85" s="15" t="s">
        <v>30</v>
      </c>
      <c r="J85" s="16">
        <v>1</v>
      </c>
      <c r="K85" s="16">
        <f>+J85*P85</f>
        <v>5660</v>
      </c>
      <c r="L85" s="12" t="s">
        <v>272</v>
      </c>
      <c r="M85" s="48" t="s">
        <v>81</v>
      </c>
      <c r="N85" s="21" t="s">
        <v>82</v>
      </c>
      <c r="O85" s="15" t="s">
        <v>273</v>
      </c>
      <c r="P85" s="17">
        <v>5660</v>
      </c>
      <c r="Q85" s="18">
        <v>5.37</v>
      </c>
      <c r="R85" s="19">
        <f t="shared" si="2"/>
        <v>30394.2</v>
      </c>
      <c r="S85" s="1">
        <v>8713</v>
      </c>
      <c r="T85" s="1" t="s">
        <v>823</v>
      </c>
      <c r="U85" s="1" t="s">
        <v>824</v>
      </c>
      <c r="V85" s="5">
        <v>7505</v>
      </c>
      <c r="W85" s="5">
        <v>1200.8</v>
      </c>
      <c r="X85" s="5">
        <v>300.2</v>
      </c>
      <c r="Y85" s="5">
        <v>8405.5999999999985</v>
      </c>
    </row>
    <row r="86" spans="1:25" ht="15" customHeight="1" x14ac:dyDescent="0.25">
      <c r="A86" s="20" t="s">
        <v>21</v>
      </c>
      <c r="B86" s="11" t="s">
        <v>17</v>
      </c>
      <c r="C86" s="11" t="s">
        <v>838</v>
      </c>
      <c r="D86" s="12">
        <v>114429</v>
      </c>
      <c r="E86" s="65">
        <v>45878</v>
      </c>
      <c r="F86" s="14" t="s">
        <v>274</v>
      </c>
      <c r="G86" s="14"/>
      <c r="H86" s="13">
        <v>45883</v>
      </c>
      <c r="I86" s="15" t="s">
        <v>30</v>
      </c>
      <c r="J86" s="16">
        <v>3.6</v>
      </c>
      <c r="K86" s="16">
        <f>+J86*P86</f>
        <v>63972</v>
      </c>
      <c r="L86" s="12" t="s">
        <v>275</v>
      </c>
      <c r="M86" s="48" t="s">
        <v>81</v>
      </c>
      <c r="N86" s="21" t="s">
        <v>82</v>
      </c>
      <c r="O86" s="15" t="s">
        <v>276</v>
      </c>
      <c r="P86" s="17">
        <v>17770</v>
      </c>
      <c r="Q86" s="18">
        <v>5.37</v>
      </c>
      <c r="R86" s="19">
        <f t="shared" si="2"/>
        <v>95424.900000000009</v>
      </c>
      <c r="S86" s="1">
        <v>8714</v>
      </c>
      <c r="T86" s="1" t="s">
        <v>823</v>
      </c>
      <c r="U86" s="1" t="s">
        <v>824</v>
      </c>
      <c r="V86" s="5">
        <v>7505</v>
      </c>
      <c r="W86" s="5">
        <v>1200.8</v>
      </c>
      <c r="X86" s="5">
        <v>300.2</v>
      </c>
      <c r="Y86" s="5">
        <v>8405.5999999999985</v>
      </c>
    </row>
    <row r="87" spans="1:25" ht="15" customHeight="1" x14ac:dyDescent="0.25">
      <c r="A87" s="20" t="s">
        <v>21</v>
      </c>
      <c r="B87" s="11" t="s">
        <v>17</v>
      </c>
      <c r="C87" s="11" t="s">
        <v>838</v>
      </c>
      <c r="D87" s="12">
        <v>114431</v>
      </c>
      <c r="E87" s="65">
        <v>45878</v>
      </c>
      <c r="F87" s="14" t="s">
        <v>295</v>
      </c>
      <c r="G87" s="14"/>
      <c r="H87" s="13">
        <v>45883</v>
      </c>
      <c r="I87" s="15" t="s">
        <v>127</v>
      </c>
      <c r="J87" s="16">
        <v>3.6</v>
      </c>
      <c r="K87" s="16">
        <f>+J87*P87</f>
        <v>78084</v>
      </c>
      <c r="L87" s="12" t="s">
        <v>296</v>
      </c>
      <c r="M87" s="48" t="s">
        <v>287</v>
      </c>
      <c r="N87" s="21" t="s">
        <v>283</v>
      </c>
      <c r="O87" s="15" t="s">
        <v>297</v>
      </c>
      <c r="P87" s="17">
        <v>21690</v>
      </c>
      <c r="Q87" s="18">
        <v>3.8</v>
      </c>
      <c r="R87" s="19">
        <f t="shared" si="2"/>
        <v>82422</v>
      </c>
      <c r="S87" s="1" t="s">
        <v>129</v>
      </c>
    </row>
    <row r="88" spans="1:25" ht="15" customHeight="1" x14ac:dyDescent="0.25">
      <c r="A88" s="20" t="s">
        <v>21</v>
      </c>
      <c r="B88" s="11" t="s">
        <v>17</v>
      </c>
      <c r="C88" s="11" t="s">
        <v>837</v>
      </c>
      <c r="D88" s="12">
        <v>114370</v>
      </c>
      <c r="E88" s="65">
        <v>45879</v>
      </c>
      <c r="F88" s="14" t="s">
        <v>767</v>
      </c>
      <c r="G88" s="14"/>
      <c r="H88" s="13">
        <v>45882</v>
      </c>
      <c r="I88" s="15" t="s">
        <v>30</v>
      </c>
      <c r="J88" s="16">
        <v>3.6</v>
      </c>
      <c r="K88" s="16">
        <f>+J88*P88</f>
        <v>79704</v>
      </c>
      <c r="L88" s="12" t="s">
        <v>259</v>
      </c>
      <c r="M88" s="48" t="s">
        <v>49</v>
      </c>
      <c r="N88" s="21" t="s">
        <v>50</v>
      </c>
      <c r="O88" s="15" t="s">
        <v>260</v>
      </c>
      <c r="P88" s="17">
        <v>22140</v>
      </c>
      <c r="Q88" s="18">
        <v>4.5999999999999996</v>
      </c>
      <c r="R88" s="19">
        <f t="shared" si="2"/>
        <v>101843.99999999999</v>
      </c>
      <c r="S88" s="55" t="s">
        <v>129</v>
      </c>
    </row>
    <row r="89" spans="1:25" ht="15" customHeight="1" x14ac:dyDescent="0.25">
      <c r="A89" s="20" t="s">
        <v>21</v>
      </c>
      <c r="B89" s="11" t="s">
        <v>17</v>
      </c>
      <c r="C89" s="11" t="s">
        <v>837</v>
      </c>
      <c r="D89" s="12">
        <v>114371</v>
      </c>
      <c r="E89" s="65">
        <v>45879</v>
      </c>
      <c r="F89" s="14" t="s">
        <v>768</v>
      </c>
      <c r="G89" s="14"/>
      <c r="H89" s="13">
        <v>45882</v>
      </c>
      <c r="I89" s="15" t="s">
        <v>30</v>
      </c>
      <c r="J89" s="16">
        <v>3.6</v>
      </c>
      <c r="K89" s="16">
        <f>+J89*P89</f>
        <v>78948</v>
      </c>
      <c r="L89" s="12" t="s">
        <v>261</v>
      </c>
      <c r="M89" s="48" t="s">
        <v>49</v>
      </c>
      <c r="N89" s="21" t="s">
        <v>50</v>
      </c>
      <c r="O89" s="15" t="s">
        <v>262</v>
      </c>
      <c r="P89" s="17">
        <v>21930</v>
      </c>
      <c r="Q89" s="18">
        <v>4.5999999999999996</v>
      </c>
      <c r="R89" s="19">
        <f t="shared" si="2"/>
        <v>100877.99999999999</v>
      </c>
      <c r="S89" s="55" t="s">
        <v>129</v>
      </c>
    </row>
    <row r="90" spans="1:25" ht="15" customHeight="1" x14ac:dyDescent="0.25">
      <c r="A90" s="20" t="s">
        <v>21</v>
      </c>
      <c r="B90" s="11" t="s">
        <v>17</v>
      </c>
      <c r="C90" s="11" t="s">
        <v>837</v>
      </c>
      <c r="D90" s="12">
        <v>114373</v>
      </c>
      <c r="E90" s="65">
        <v>45880</v>
      </c>
      <c r="F90" s="14" t="s">
        <v>769</v>
      </c>
      <c r="G90" s="14"/>
      <c r="H90" s="13">
        <v>45882</v>
      </c>
      <c r="I90" s="15" t="s">
        <v>30</v>
      </c>
      <c r="J90" s="16">
        <v>3.6</v>
      </c>
      <c r="K90" s="16">
        <f>+J90*P90</f>
        <v>72252</v>
      </c>
      <c r="L90" s="12" t="s">
        <v>263</v>
      </c>
      <c r="M90" s="48" t="s">
        <v>49</v>
      </c>
      <c r="N90" s="21" t="s">
        <v>50</v>
      </c>
      <c r="O90" s="15" t="s">
        <v>264</v>
      </c>
      <c r="P90" s="17">
        <v>20070</v>
      </c>
      <c r="Q90" s="18">
        <v>4.5999999999999996</v>
      </c>
      <c r="R90" s="19">
        <f t="shared" si="2"/>
        <v>92322</v>
      </c>
      <c r="S90" s="55" t="s">
        <v>129</v>
      </c>
    </row>
    <row r="91" spans="1:25" ht="15" customHeight="1" x14ac:dyDescent="0.25">
      <c r="A91" s="20" t="s">
        <v>21</v>
      </c>
      <c r="B91" s="11" t="s">
        <v>17</v>
      </c>
      <c r="C91" s="11" t="s">
        <v>838</v>
      </c>
      <c r="D91" s="12">
        <v>114435</v>
      </c>
      <c r="E91" s="65">
        <v>45880</v>
      </c>
      <c r="F91" s="14" t="s">
        <v>277</v>
      </c>
      <c r="G91" s="14"/>
      <c r="H91" s="13">
        <v>45883</v>
      </c>
      <c r="I91" s="15" t="s">
        <v>30</v>
      </c>
      <c r="J91" s="16">
        <v>3.6</v>
      </c>
      <c r="K91" s="16">
        <f>+J91*P91</f>
        <v>64188</v>
      </c>
      <c r="L91" s="12" t="s">
        <v>278</v>
      </c>
      <c r="M91" s="48" t="s">
        <v>81</v>
      </c>
      <c r="N91" s="21" t="s">
        <v>82</v>
      </c>
      <c r="O91" s="15" t="s">
        <v>279</v>
      </c>
      <c r="P91" s="17">
        <v>17830</v>
      </c>
      <c r="Q91" s="18">
        <v>5.37</v>
      </c>
      <c r="R91" s="19">
        <f t="shared" si="2"/>
        <v>95747.1</v>
      </c>
      <c r="S91" s="1">
        <v>8720</v>
      </c>
      <c r="T91" s="1" t="s">
        <v>823</v>
      </c>
      <c r="U91" s="1" t="s">
        <v>824</v>
      </c>
      <c r="V91" s="5">
        <v>7505</v>
      </c>
      <c r="W91" s="5">
        <v>1200.8</v>
      </c>
      <c r="X91" s="5">
        <v>300.2</v>
      </c>
      <c r="Y91" s="5">
        <v>8405.5999999999985</v>
      </c>
    </row>
    <row r="92" spans="1:25" ht="15" customHeight="1" x14ac:dyDescent="0.25">
      <c r="A92" s="20" t="s">
        <v>21</v>
      </c>
      <c r="B92" s="11" t="s">
        <v>17</v>
      </c>
      <c r="C92" s="11" t="s">
        <v>838</v>
      </c>
      <c r="D92" s="12">
        <v>114434</v>
      </c>
      <c r="E92" s="13">
        <v>45880</v>
      </c>
      <c r="F92" s="14" t="s">
        <v>298</v>
      </c>
      <c r="G92" s="14"/>
      <c r="H92" s="13">
        <v>45883</v>
      </c>
      <c r="I92" s="15" t="s">
        <v>127</v>
      </c>
      <c r="J92" s="16">
        <v>3.6</v>
      </c>
      <c r="K92" s="16">
        <f>+J92*P92</f>
        <v>77328</v>
      </c>
      <c r="L92" s="12" t="s">
        <v>299</v>
      </c>
      <c r="M92" s="48" t="s">
        <v>287</v>
      </c>
      <c r="N92" s="21" t="s">
        <v>283</v>
      </c>
      <c r="O92" s="15" t="s">
        <v>300</v>
      </c>
      <c r="P92" s="17">
        <v>21480</v>
      </c>
      <c r="Q92" s="18">
        <v>3.8</v>
      </c>
      <c r="R92" s="19">
        <f t="shared" si="2"/>
        <v>81624</v>
      </c>
      <c r="S92" s="1" t="s">
        <v>129</v>
      </c>
    </row>
    <row r="93" spans="1:25" ht="15" customHeight="1" x14ac:dyDescent="0.25">
      <c r="A93" s="20" t="s">
        <v>21</v>
      </c>
      <c r="B93" s="11" t="s">
        <v>17</v>
      </c>
      <c r="C93" s="11" t="s">
        <v>831</v>
      </c>
      <c r="D93" s="12">
        <v>10141</v>
      </c>
      <c r="E93" s="65">
        <v>45881</v>
      </c>
      <c r="F93" s="14" t="s">
        <v>243</v>
      </c>
      <c r="G93" s="14"/>
      <c r="H93" s="13">
        <v>45882</v>
      </c>
      <c r="I93" s="15" t="s">
        <v>19</v>
      </c>
      <c r="J93" s="16">
        <v>3.6</v>
      </c>
      <c r="K93" s="16">
        <f>+J93*P93</f>
        <v>72370.8</v>
      </c>
      <c r="L93" s="12" t="s">
        <v>244</v>
      </c>
      <c r="M93" s="48" t="s">
        <v>22</v>
      </c>
      <c r="N93" s="21" t="s">
        <v>23</v>
      </c>
      <c r="O93" s="15" t="s">
        <v>245</v>
      </c>
      <c r="P93" s="17">
        <v>20103</v>
      </c>
      <c r="Q93" s="18">
        <v>5.29</v>
      </c>
      <c r="R93" s="19">
        <f t="shared" si="2"/>
        <v>106344.87</v>
      </c>
      <c r="S93" s="1">
        <v>945</v>
      </c>
      <c r="T93" s="1" t="s">
        <v>801</v>
      </c>
      <c r="U93" s="1" t="s">
        <v>802</v>
      </c>
      <c r="V93" s="5">
        <v>15005</v>
      </c>
      <c r="W93" s="5">
        <v>2400.8000000000002</v>
      </c>
      <c r="X93" s="5">
        <v>600.20000000000005</v>
      </c>
      <c r="Y93" s="5">
        <v>16805.599999999999</v>
      </c>
    </row>
    <row r="94" spans="1:25" ht="15" customHeight="1" x14ac:dyDescent="0.25">
      <c r="A94" s="20" t="s">
        <v>21</v>
      </c>
      <c r="B94" s="11" t="s">
        <v>17</v>
      </c>
      <c r="C94" s="11" t="s">
        <v>833</v>
      </c>
      <c r="D94" s="12">
        <v>20796</v>
      </c>
      <c r="E94" s="65">
        <v>45881</v>
      </c>
      <c r="F94" s="14" t="s">
        <v>352</v>
      </c>
      <c r="G94" s="14"/>
      <c r="H94" s="13">
        <v>45884</v>
      </c>
      <c r="I94" s="15" t="s">
        <v>109</v>
      </c>
      <c r="J94" s="16">
        <v>3.2</v>
      </c>
      <c r="K94" s="16">
        <f>+J94*P94</f>
        <v>63232</v>
      </c>
      <c r="L94" s="12" t="s">
        <v>353</v>
      </c>
      <c r="M94" s="48" t="s">
        <v>110</v>
      </c>
      <c r="N94" s="21" t="s">
        <v>111</v>
      </c>
      <c r="O94" s="15" t="s">
        <v>354</v>
      </c>
      <c r="P94" s="17">
        <v>19760</v>
      </c>
      <c r="Q94" s="18">
        <v>5.3</v>
      </c>
      <c r="R94" s="19">
        <f t="shared" si="2"/>
        <v>104728</v>
      </c>
      <c r="S94" s="1">
        <v>22022</v>
      </c>
      <c r="T94" s="1" t="s">
        <v>811</v>
      </c>
      <c r="U94" s="1" t="s">
        <v>812</v>
      </c>
      <c r="V94" s="5">
        <v>38136.799999999996</v>
      </c>
      <c r="W94" s="5">
        <v>6101.887999999999</v>
      </c>
      <c r="X94" s="5">
        <v>1525.4719999999998</v>
      </c>
      <c r="Y94" s="5">
        <v>42713.215999999993</v>
      </c>
    </row>
    <row r="95" spans="1:25" s="22" customFormat="1" ht="15" customHeight="1" thickBot="1" x14ac:dyDescent="0.3">
      <c r="A95" s="20" t="s">
        <v>21</v>
      </c>
      <c r="B95" s="23" t="s">
        <v>17</v>
      </c>
      <c r="C95" s="11" t="s">
        <v>834</v>
      </c>
      <c r="D95" s="24">
        <v>23721</v>
      </c>
      <c r="E95" s="66">
        <v>45881</v>
      </c>
      <c r="F95" s="26" t="s">
        <v>267</v>
      </c>
      <c r="G95" s="26"/>
      <c r="H95" s="25">
        <v>45883</v>
      </c>
      <c r="I95" s="27" t="s">
        <v>30</v>
      </c>
      <c r="J95" s="16">
        <v>3.6</v>
      </c>
      <c r="K95" s="16">
        <f>+J95*P95</f>
        <v>87876</v>
      </c>
      <c r="L95" s="12"/>
      <c r="M95" s="49" t="s">
        <v>73</v>
      </c>
      <c r="N95" s="53" t="s">
        <v>74</v>
      </c>
      <c r="O95" s="27" t="s">
        <v>268</v>
      </c>
      <c r="P95" s="28">
        <v>24410</v>
      </c>
      <c r="Q95" s="29">
        <v>4.5</v>
      </c>
      <c r="R95" s="19">
        <f t="shared" si="2"/>
        <v>109845</v>
      </c>
      <c r="S95" s="55" t="s">
        <v>129</v>
      </c>
      <c r="T95" s="1"/>
      <c r="U95" s="1"/>
      <c r="V95" s="5"/>
      <c r="W95" s="5"/>
      <c r="X95" s="5"/>
      <c r="Y95" s="5"/>
    </row>
    <row r="96" spans="1:25" ht="15" customHeight="1" x14ac:dyDescent="0.25">
      <c r="A96" s="20" t="s">
        <v>21</v>
      </c>
      <c r="B96" s="11" t="s">
        <v>17</v>
      </c>
      <c r="C96" s="11" t="s">
        <v>835</v>
      </c>
      <c r="D96" s="12">
        <v>148514</v>
      </c>
      <c r="E96" s="65">
        <v>45881</v>
      </c>
      <c r="F96" s="14" t="s">
        <v>246</v>
      </c>
      <c r="G96" s="14"/>
      <c r="H96" s="13">
        <v>45882</v>
      </c>
      <c r="I96" s="15" t="s">
        <v>139</v>
      </c>
      <c r="J96" s="16">
        <v>3.6</v>
      </c>
      <c r="K96" s="16">
        <f>+J96*P96</f>
        <v>40881.599999999999</v>
      </c>
      <c r="L96" s="12" t="s">
        <v>247</v>
      </c>
      <c r="M96" s="48" t="s">
        <v>141</v>
      </c>
      <c r="N96" s="21" t="s">
        <v>142</v>
      </c>
      <c r="O96" s="15" t="s">
        <v>248</v>
      </c>
      <c r="P96" s="17">
        <v>11356</v>
      </c>
      <c r="Q96" s="18">
        <v>3.88</v>
      </c>
      <c r="R96" s="19">
        <f t="shared" si="2"/>
        <v>44061.279999999999</v>
      </c>
      <c r="S96" s="55" t="s">
        <v>129</v>
      </c>
    </row>
    <row r="97" spans="1:25" ht="15" customHeight="1" x14ac:dyDescent="0.25">
      <c r="A97" s="20" t="s">
        <v>21</v>
      </c>
      <c r="B97" s="11" t="s">
        <v>17</v>
      </c>
      <c r="C97" s="11" t="s">
        <v>837</v>
      </c>
      <c r="D97" s="12">
        <v>114374</v>
      </c>
      <c r="E97" s="65">
        <v>45881</v>
      </c>
      <c r="F97" s="14" t="s">
        <v>770</v>
      </c>
      <c r="G97" s="14"/>
      <c r="H97" s="13">
        <v>45882</v>
      </c>
      <c r="I97" s="15" t="s">
        <v>30</v>
      </c>
      <c r="J97" s="16">
        <v>3.6</v>
      </c>
      <c r="K97" s="16">
        <f>+J97*P97</f>
        <v>77220</v>
      </c>
      <c r="L97" s="12" t="s">
        <v>265</v>
      </c>
      <c r="M97" s="48" t="s">
        <v>49</v>
      </c>
      <c r="N97" s="21" t="s">
        <v>50</v>
      </c>
      <c r="O97" s="15" t="s">
        <v>266</v>
      </c>
      <c r="P97" s="17">
        <v>21450</v>
      </c>
      <c r="Q97" s="18">
        <v>4.5999999999999996</v>
      </c>
      <c r="R97" s="19">
        <f t="shared" si="2"/>
        <v>98669.999999999985</v>
      </c>
      <c r="S97" s="55" t="s">
        <v>129</v>
      </c>
    </row>
    <row r="98" spans="1:25" ht="15" customHeight="1" x14ac:dyDescent="0.25">
      <c r="A98" s="20" t="s">
        <v>21</v>
      </c>
      <c r="B98" s="11" t="s">
        <v>17</v>
      </c>
      <c r="C98" s="11" t="s">
        <v>837</v>
      </c>
      <c r="D98" s="12">
        <v>114376</v>
      </c>
      <c r="E98" s="65">
        <v>45881</v>
      </c>
      <c r="F98" s="14" t="s">
        <v>324</v>
      </c>
      <c r="G98" s="14"/>
      <c r="H98" s="13">
        <v>45884</v>
      </c>
      <c r="I98" s="15" t="s">
        <v>30</v>
      </c>
      <c r="J98" s="16">
        <v>3.6</v>
      </c>
      <c r="K98" s="16">
        <f>+J98*P98</f>
        <v>73584</v>
      </c>
      <c r="L98" s="12" t="s">
        <v>325</v>
      </c>
      <c r="M98" s="48" t="s">
        <v>49</v>
      </c>
      <c r="N98" s="21" t="s">
        <v>50</v>
      </c>
      <c r="O98" s="15" t="s">
        <v>326</v>
      </c>
      <c r="P98" s="17">
        <v>20440</v>
      </c>
      <c r="Q98" s="18">
        <v>4.5999999999999996</v>
      </c>
      <c r="R98" s="19">
        <f t="shared" si="2"/>
        <v>94024</v>
      </c>
      <c r="S98" s="55" t="s">
        <v>129</v>
      </c>
    </row>
    <row r="99" spans="1:25" ht="15" customHeight="1" x14ac:dyDescent="0.25">
      <c r="A99" s="20" t="s">
        <v>21</v>
      </c>
      <c r="B99" s="11" t="s">
        <v>17</v>
      </c>
      <c r="C99" s="11" t="s">
        <v>838</v>
      </c>
      <c r="D99" s="12">
        <v>114439</v>
      </c>
      <c r="E99" s="65">
        <v>45881</v>
      </c>
      <c r="F99" s="14" t="s">
        <v>349</v>
      </c>
      <c r="G99" s="14"/>
      <c r="H99" s="13">
        <v>45884</v>
      </c>
      <c r="I99" s="15" t="s">
        <v>127</v>
      </c>
      <c r="J99" s="16">
        <v>3.6</v>
      </c>
      <c r="K99" s="16">
        <f>+J99*P99</f>
        <v>78192</v>
      </c>
      <c r="L99" s="12" t="s">
        <v>350</v>
      </c>
      <c r="M99" s="48" t="s">
        <v>282</v>
      </c>
      <c r="N99" s="21" t="s">
        <v>283</v>
      </c>
      <c r="O99" s="15" t="s">
        <v>351</v>
      </c>
      <c r="P99" s="17">
        <v>21720</v>
      </c>
      <c r="Q99" s="18">
        <v>3.8</v>
      </c>
      <c r="R99" s="19">
        <f t="shared" ref="R99:R130" si="3">+P99*Q99</f>
        <v>82536</v>
      </c>
      <c r="S99" s="1" t="s">
        <v>129</v>
      </c>
    </row>
    <row r="100" spans="1:25" ht="15" customHeight="1" x14ac:dyDescent="0.25">
      <c r="A100" s="20" t="s">
        <v>21</v>
      </c>
      <c r="B100" s="11" t="s">
        <v>17</v>
      </c>
      <c r="C100" s="11" t="s">
        <v>833</v>
      </c>
      <c r="D100" s="12">
        <v>20797</v>
      </c>
      <c r="E100" s="65">
        <v>45882</v>
      </c>
      <c r="F100" s="14" t="s">
        <v>355</v>
      </c>
      <c r="G100" s="14"/>
      <c r="H100" s="13">
        <v>45884</v>
      </c>
      <c r="I100" s="15" t="s">
        <v>109</v>
      </c>
      <c r="J100" s="16">
        <v>3.2</v>
      </c>
      <c r="K100" s="16">
        <f>+J100*P100</f>
        <v>80096</v>
      </c>
      <c r="L100" s="12" t="s">
        <v>356</v>
      </c>
      <c r="M100" s="48" t="s">
        <v>110</v>
      </c>
      <c r="N100" s="21" t="s">
        <v>111</v>
      </c>
      <c r="O100" s="15" t="s">
        <v>357</v>
      </c>
      <c r="P100" s="17">
        <v>25030</v>
      </c>
      <c r="Q100" s="18">
        <v>5.3</v>
      </c>
      <c r="R100" s="19">
        <f t="shared" si="3"/>
        <v>132659</v>
      </c>
      <c r="S100" s="1">
        <v>20004</v>
      </c>
      <c r="T100" s="1" t="s">
        <v>807</v>
      </c>
      <c r="U100" s="1" t="s">
        <v>808</v>
      </c>
      <c r="V100" s="5">
        <v>48307.9</v>
      </c>
      <c r="W100" s="5">
        <v>7729.2640000000001</v>
      </c>
      <c r="X100" s="5">
        <v>1932.316</v>
      </c>
      <c r="Y100" s="5">
        <v>54104.848000000005</v>
      </c>
    </row>
    <row r="101" spans="1:25" ht="15" customHeight="1" x14ac:dyDescent="0.25">
      <c r="A101" s="20" t="s">
        <v>21</v>
      </c>
      <c r="B101" s="11" t="s">
        <v>17</v>
      </c>
      <c r="C101" s="11" t="s">
        <v>833</v>
      </c>
      <c r="D101" s="12">
        <v>20800</v>
      </c>
      <c r="E101" s="65">
        <v>45882</v>
      </c>
      <c r="F101" s="14" t="s">
        <v>358</v>
      </c>
      <c r="G101" s="14"/>
      <c r="H101" s="13">
        <v>45884</v>
      </c>
      <c r="I101" s="15" t="s">
        <v>109</v>
      </c>
      <c r="J101" s="16">
        <v>3.2</v>
      </c>
      <c r="K101" s="16">
        <f>+J101*P101</f>
        <v>82752</v>
      </c>
      <c r="L101" s="12" t="s">
        <v>359</v>
      </c>
      <c r="M101" s="48" t="s">
        <v>110</v>
      </c>
      <c r="N101" s="21" t="s">
        <v>111</v>
      </c>
      <c r="O101" s="15" t="s">
        <v>360</v>
      </c>
      <c r="P101" s="17">
        <v>25860</v>
      </c>
      <c r="Q101" s="18">
        <v>5.3</v>
      </c>
      <c r="R101" s="19">
        <f t="shared" si="3"/>
        <v>137058</v>
      </c>
      <c r="S101" s="1">
        <v>14627</v>
      </c>
      <c r="T101" s="1" t="s">
        <v>815</v>
      </c>
      <c r="U101" s="1" t="s">
        <v>816</v>
      </c>
      <c r="V101" s="5">
        <v>49909.799999999996</v>
      </c>
      <c r="W101" s="5">
        <v>7985.5679999999993</v>
      </c>
      <c r="X101" s="5">
        <v>1996.3919999999998</v>
      </c>
      <c r="Y101" s="5">
        <v>55898.975999999995</v>
      </c>
    </row>
    <row r="102" spans="1:25" ht="15" customHeight="1" x14ac:dyDescent="0.25">
      <c r="A102" s="20" t="s">
        <v>21</v>
      </c>
      <c r="B102" s="11" t="s">
        <v>17</v>
      </c>
      <c r="C102" s="11" t="s">
        <v>834</v>
      </c>
      <c r="D102" s="12">
        <v>23722</v>
      </c>
      <c r="E102" s="65">
        <v>45882</v>
      </c>
      <c r="F102" s="14" t="s">
        <v>269</v>
      </c>
      <c r="G102" s="14"/>
      <c r="H102" s="13">
        <v>45883</v>
      </c>
      <c r="I102" s="15" t="s">
        <v>30</v>
      </c>
      <c r="J102" s="16">
        <v>3.6</v>
      </c>
      <c r="K102" s="16">
        <f>+J102*P102</f>
        <v>86256</v>
      </c>
      <c r="L102" s="12"/>
      <c r="M102" s="48" t="s">
        <v>73</v>
      </c>
      <c r="N102" s="21" t="s">
        <v>74</v>
      </c>
      <c r="O102" s="15" t="s">
        <v>270</v>
      </c>
      <c r="P102" s="17">
        <v>23960</v>
      </c>
      <c r="Q102" s="18">
        <v>4.5</v>
      </c>
      <c r="R102" s="19">
        <f t="shared" si="3"/>
        <v>107820</v>
      </c>
      <c r="S102" s="55" t="s">
        <v>129</v>
      </c>
    </row>
    <row r="103" spans="1:25" ht="15" customHeight="1" x14ac:dyDescent="0.25">
      <c r="A103" s="20" t="s">
        <v>21</v>
      </c>
      <c r="B103" s="11" t="s">
        <v>17</v>
      </c>
      <c r="C103" s="11" t="s">
        <v>836</v>
      </c>
      <c r="D103" s="12" t="s">
        <v>312</v>
      </c>
      <c r="E103" s="65">
        <v>45882</v>
      </c>
      <c r="F103" s="14" t="s">
        <v>313</v>
      </c>
      <c r="G103" s="14"/>
      <c r="H103" s="13">
        <v>45884</v>
      </c>
      <c r="I103" s="15" t="s">
        <v>30</v>
      </c>
      <c r="J103" s="16">
        <v>3.6</v>
      </c>
      <c r="K103" s="16">
        <f>+J103*P103</f>
        <v>78156</v>
      </c>
      <c r="L103" s="12" t="s">
        <v>314</v>
      </c>
      <c r="M103" s="48" t="s">
        <v>32</v>
      </c>
      <c r="N103" s="21" t="s">
        <v>33</v>
      </c>
      <c r="O103" s="15" t="s">
        <v>315</v>
      </c>
      <c r="P103" s="17">
        <v>21710</v>
      </c>
      <c r="Q103" s="18">
        <v>5.39</v>
      </c>
      <c r="R103" s="19">
        <f t="shared" si="3"/>
        <v>117016.9</v>
      </c>
      <c r="S103" s="1">
        <v>3423</v>
      </c>
      <c r="T103" s="1" t="s">
        <v>821</v>
      </c>
      <c r="U103" s="1" t="s">
        <v>822</v>
      </c>
      <c r="V103" s="5">
        <v>14328.6</v>
      </c>
      <c r="W103" s="5">
        <v>2292.576</v>
      </c>
      <c r="X103" s="5">
        <v>573.14400000000001</v>
      </c>
      <c r="Y103" s="5">
        <v>16048.031999999999</v>
      </c>
    </row>
    <row r="104" spans="1:25" ht="15" customHeight="1" x14ac:dyDescent="0.25">
      <c r="A104" s="20" t="s">
        <v>21</v>
      </c>
      <c r="B104" s="11" t="s">
        <v>17</v>
      </c>
      <c r="C104" s="11" t="s">
        <v>836</v>
      </c>
      <c r="D104" s="12" t="s">
        <v>316</v>
      </c>
      <c r="E104" s="65">
        <v>45882</v>
      </c>
      <c r="F104" s="14" t="s">
        <v>317</v>
      </c>
      <c r="G104" s="14"/>
      <c r="H104" s="13">
        <v>45884</v>
      </c>
      <c r="I104" s="15" t="s">
        <v>30</v>
      </c>
      <c r="J104" s="16">
        <v>3.6</v>
      </c>
      <c r="K104" s="16">
        <f>+J104*P104</f>
        <v>89892</v>
      </c>
      <c r="L104" s="12" t="s">
        <v>318</v>
      </c>
      <c r="M104" s="48" t="s">
        <v>32</v>
      </c>
      <c r="N104" s="21" t="s">
        <v>33</v>
      </c>
      <c r="O104" s="15" t="s">
        <v>319</v>
      </c>
      <c r="P104" s="17">
        <v>24970</v>
      </c>
      <c r="Q104" s="18">
        <v>5.39</v>
      </c>
      <c r="R104" s="19">
        <f t="shared" si="3"/>
        <v>134588.29999999999</v>
      </c>
      <c r="S104" s="1">
        <v>3416</v>
      </c>
      <c r="T104" s="1" t="s">
        <v>821</v>
      </c>
      <c r="U104" s="1" t="s">
        <v>822</v>
      </c>
      <c r="V104" s="5">
        <v>16480.2</v>
      </c>
      <c r="W104" s="5">
        <v>2636.8320000000003</v>
      </c>
      <c r="X104" s="5">
        <v>659.20800000000008</v>
      </c>
      <c r="Y104" s="5">
        <v>18457.824000000001</v>
      </c>
    </row>
    <row r="105" spans="1:25" ht="15" customHeight="1" x14ac:dyDescent="0.25">
      <c r="A105" s="20" t="s">
        <v>21</v>
      </c>
      <c r="B105" s="11" t="s">
        <v>17</v>
      </c>
      <c r="C105" s="11" t="s">
        <v>837</v>
      </c>
      <c r="D105" s="12">
        <v>114378</v>
      </c>
      <c r="E105" s="65">
        <v>45882</v>
      </c>
      <c r="F105" s="14" t="s">
        <v>327</v>
      </c>
      <c r="G105" s="14"/>
      <c r="H105" s="13">
        <v>45884</v>
      </c>
      <c r="I105" s="15" t="s">
        <v>30</v>
      </c>
      <c r="J105" s="16">
        <v>3.6</v>
      </c>
      <c r="K105" s="16">
        <f>+J105*P105</f>
        <v>71784</v>
      </c>
      <c r="L105" s="12" t="s">
        <v>328</v>
      </c>
      <c r="M105" s="48" t="s">
        <v>49</v>
      </c>
      <c r="N105" s="21" t="s">
        <v>50</v>
      </c>
      <c r="O105" s="15" t="s">
        <v>329</v>
      </c>
      <c r="P105" s="17">
        <v>19940</v>
      </c>
      <c r="Q105" s="18">
        <v>4.5999999999999996</v>
      </c>
      <c r="R105" s="19">
        <f t="shared" si="3"/>
        <v>91724</v>
      </c>
      <c r="S105" s="55" t="s">
        <v>129</v>
      </c>
    </row>
    <row r="106" spans="1:25" ht="15" customHeight="1" x14ac:dyDescent="0.25">
      <c r="A106" s="20" t="s">
        <v>21</v>
      </c>
      <c r="B106" s="11" t="s">
        <v>17</v>
      </c>
      <c r="C106" s="11" t="s">
        <v>837</v>
      </c>
      <c r="D106" s="12">
        <v>114381</v>
      </c>
      <c r="E106" s="65">
        <v>45882</v>
      </c>
      <c r="F106" s="14" t="s">
        <v>343</v>
      </c>
      <c r="G106" s="14"/>
      <c r="H106" s="13">
        <v>45884</v>
      </c>
      <c r="I106" s="15" t="s">
        <v>67</v>
      </c>
      <c r="J106" s="16">
        <v>1</v>
      </c>
      <c r="K106" s="16">
        <f>+J106*P106</f>
        <v>4510</v>
      </c>
      <c r="L106" s="12" t="s">
        <v>344</v>
      </c>
      <c r="M106" s="48" t="s">
        <v>49</v>
      </c>
      <c r="N106" s="21" t="s">
        <v>50</v>
      </c>
      <c r="O106" s="15" t="s">
        <v>345</v>
      </c>
      <c r="P106" s="17">
        <v>4510</v>
      </c>
      <c r="Q106" s="18">
        <v>1.2</v>
      </c>
      <c r="R106" s="19">
        <f t="shared" si="3"/>
        <v>5412</v>
      </c>
      <c r="S106" s="55" t="s">
        <v>129</v>
      </c>
    </row>
    <row r="107" spans="1:25" ht="15" customHeight="1" x14ac:dyDescent="0.25">
      <c r="A107" s="20" t="s">
        <v>21</v>
      </c>
      <c r="B107" s="11" t="s">
        <v>17</v>
      </c>
      <c r="C107" s="11" t="s">
        <v>838</v>
      </c>
      <c r="D107" s="12">
        <v>114445</v>
      </c>
      <c r="E107" s="65">
        <v>45882</v>
      </c>
      <c r="F107" s="14" t="s">
        <v>333</v>
      </c>
      <c r="G107" s="14"/>
      <c r="H107" s="13">
        <v>45884</v>
      </c>
      <c r="I107" s="15" t="s">
        <v>30</v>
      </c>
      <c r="J107" s="16">
        <v>3.6</v>
      </c>
      <c r="K107" s="16">
        <f>+J107*P107</f>
        <v>64764</v>
      </c>
      <c r="L107" s="12" t="s">
        <v>334</v>
      </c>
      <c r="M107" s="48" t="s">
        <v>335</v>
      </c>
      <c r="N107" s="21" t="s">
        <v>82</v>
      </c>
      <c r="O107" s="15" t="s">
        <v>336</v>
      </c>
      <c r="P107" s="17">
        <v>17990</v>
      </c>
      <c r="Q107" s="18">
        <v>5.37</v>
      </c>
      <c r="R107" s="19">
        <f t="shared" si="3"/>
        <v>96606.3</v>
      </c>
      <c r="S107" s="1">
        <v>8728</v>
      </c>
      <c r="T107" s="1" t="s">
        <v>823</v>
      </c>
      <c r="U107" s="1" t="s">
        <v>824</v>
      </c>
      <c r="V107" s="5">
        <v>7505</v>
      </c>
      <c r="W107" s="5">
        <v>1200.8</v>
      </c>
      <c r="X107" s="5">
        <v>300.2</v>
      </c>
      <c r="Y107" s="5">
        <v>8405.5999999999985</v>
      </c>
    </row>
    <row r="108" spans="1:25" ht="15" customHeight="1" x14ac:dyDescent="0.25">
      <c r="A108" s="20" t="s">
        <v>21</v>
      </c>
      <c r="B108" s="11" t="s">
        <v>17</v>
      </c>
      <c r="C108" s="11" t="s">
        <v>831</v>
      </c>
      <c r="D108" s="12">
        <v>10143</v>
      </c>
      <c r="E108" s="65">
        <v>45883</v>
      </c>
      <c r="F108" s="14" t="s">
        <v>304</v>
      </c>
      <c r="G108" s="14"/>
      <c r="H108" s="13">
        <v>45884</v>
      </c>
      <c r="I108" s="15" t="s">
        <v>19</v>
      </c>
      <c r="J108" s="16">
        <v>3.6</v>
      </c>
      <c r="K108" s="30">
        <f>+J108*P108</f>
        <v>71078.400000000009</v>
      </c>
      <c r="L108" s="31" t="s">
        <v>305</v>
      </c>
      <c r="M108" s="48" t="s">
        <v>306</v>
      </c>
      <c r="N108" s="21" t="s">
        <v>23</v>
      </c>
      <c r="O108" s="15" t="s">
        <v>307</v>
      </c>
      <c r="P108" s="17">
        <v>19744</v>
      </c>
      <c r="Q108" s="18">
        <v>5.29</v>
      </c>
      <c r="R108" s="19">
        <f t="shared" si="3"/>
        <v>104445.75999999999</v>
      </c>
      <c r="S108" s="1">
        <v>947</v>
      </c>
      <c r="T108" s="1" t="s">
        <v>801</v>
      </c>
      <c r="U108" s="1" t="s">
        <v>802</v>
      </c>
      <c r="V108" s="5">
        <v>15005</v>
      </c>
      <c r="W108" s="5">
        <v>2400.8000000000002</v>
      </c>
      <c r="X108" s="5">
        <v>600.20000000000005</v>
      </c>
      <c r="Y108" s="5">
        <v>16805.599999999999</v>
      </c>
    </row>
    <row r="109" spans="1:25" ht="15" customHeight="1" x14ac:dyDescent="0.25">
      <c r="A109" s="20" t="s">
        <v>21</v>
      </c>
      <c r="B109" s="11" t="s">
        <v>17</v>
      </c>
      <c r="C109" s="11" t="s">
        <v>833</v>
      </c>
      <c r="D109" s="12">
        <v>20802</v>
      </c>
      <c r="E109" s="65">
        <v>45883</v>
      </c>
      <c r="F109" s="14" t="s">
        <v>361</v>
      </c>
      <c r="G109" s="14"/>
      <c r="H109" s="13">
        <v>45884</v>
      </c>
      <c r="I109" s="15" t="s">
        <v>109</v>
      </c>
      <c r="J109" s="16">
        <v>3.2</v>
      </c>
      <c r="K109" s="16">
        <f>+J109*P109</f>
        <v>81728</v>
      </c>
      <c r="L109" s="12" t="s">
        <v>362</v>
      </c>
      <c r="M109" s="48" t="s">
        <v>110</v>
      </c>
      <c r="N109" s="21" t="s">
        <v>111</v>
      </c>
      <c r="O109" s="15" t="s">
        <v>363</v>
      </c>
      <c r="P109" s="17">
        <v>25540</v>
      </c>
      <c r="Q109" s="18">
        <v>5.3</v>
      </c>
      <c r="R109" s="19">
        <f t="shared" si="3"/>
        <v>135362</v>
      </c>
      <c r="S109" s="1">
        <v>14626</v>
      </c>
      <c r="T109" s="1" t="s">
        <v>815</v>
      </c>
      <c r="U109" s="1" t="s">
        <v>816</v>
      </c>
      <c r="V109" s="5">
        <v>49292.2</v>
      </c>
      <c r="W109" s="5">
        <v>7886.7519999999995</v>
      </c>
      <c r="X109" s="5">
        <v>1971.6879999999999</v>
      </c>
      <c r="Y109" s="5">
        <v>55207.263999999996</v>
      </c>
    </row>
    <row r="110" spans="1:25" ht="15" customHeight="1" x14ac:dyDescent="0.25">
      <c r="A110" s="20" t="s">
        <v>21</v>
      </c>
      <c r="B110" s="11" t="s">
        <v>17</v>
      </c>
      <c r="C110" s="11" t="s">
        <v>835</v>
      </c>
      <c r="D110" s="12">
        <v>148546</v>
      </c>
      <c r="E110" s="65">
        <v>45883</v>
      </c>
      <c r="F110" s="14" t="s">
        <v>364</v>
      </c>
      <c r="G110" s="14"/>
      <c r="H110" s="13">
        <v>45884</v>
      </c>
      <c r="I110" s="15" t="s">
        <v>139</v>
      </c>
      <c r="J110" s="16">
        <v>3.6</v>
      </c>
      <c r="K110" s="16">
        <f>+J110*P110</f>
        <v>39621.599999999999</v>
      </c>
      <c r="L110" s="12" t="s">
        <v>365</v>
      </c>
      <c r="M110" s="48" t="s">
        <v>141</v>
      </c>
      <c r="N110" s="21" t="s">
        <v>142</v>
      </c>
      <c r="O110" s="15" t="s">
        <v>366</v>
      </c>
      <c r="P110" s="17">
        <v>11006</v>
      </c>
      <c r="Q110" s="18">
        <v>3.88</v>
      </c>
      <c r="R110" s="19">
        <f t="shared" si="3"/>
        <v>42703.28</v>
      </c>
      <c r="S110" s="55" t="s">
        <v>129</v>
      </c>
    </row>
    <row r="111" spans="1:25" ht="15" customHeight="1" x14ac:dyDescent="0.25">
      <c r="A111" s="20" t="s">
        <v>21</v>
      </c>
      <c r="B111" s="11" t="s">
        <v>17</v>
      </c>
      <c r="C111" s="11" t="s">
        <v>836</v>
      </c>
      <c r="D111" s="12" t="s">
        <v>320</v>
      </c>
      <c r="E111" s="65">
        <v>45883</v>
      </c>
      <c r="F111" s="14" t="s">
        <v>321</v>
      </c>
      <c r="G111" s="14"/>
      <c r="H111" s="13">
        <v>45884</v>
      </c>
      <c r="I111" s="15" t="s">
        <v>30</v>
      </c>
      <c r="J111" s="16">
        <v>3.6</v>
      </c>
      <c r="K111" s="16">
        <f>+J111*P111</f>
        <v>85752</v>
      </c>
      <c r="L111" s="12" t="s">
        <v>322</v>
      </c>
      <c r="M111" s="48" t="s">
        <v>32</v>
      </c>
      <c r="N111" s="21" t="s">
        <v>33</v>
      </c>
      <c r="O111" s="15" t="s">
        <v>323</v>
      </c>
      <c r="P111" s="17">
        <v>23820</v>
      </c>
      <c r="Q111" s="18">
        <v>5.39</v>
      </c>
      <c r="R111" s="19">
        <f t="shared" si="3"/>
        <v>128389.79999999999</v>
      </c>
      <c r="S111" s="1">
        <v>3482</v>
      </c>
      <c r="T111" s="1" t="s">
        <v>821</v>
      </c>
      <c r="U111" s="1" t="s">
        <v>822</v>
      </c>
      <c r="V111" s="5">
        <v>15721.2</v>
      </c>
      <c r="W111" s="5">
        <v>2515.3920000000003</v>
      </c>
      <c r="X111" s="5">
        <v>628.84800000000007</v>
      </c>
      <c r="Y111" s="5">
        <v>17607.743999999999</v>
      </c>
    </row>
    <row r="112" spans="1:25" ht="15" customHeight="1" x14ac:dyDescent="0.25">
      <c r="A112" s="20" t="s">
        <v>21</v>
      </c>
      <c r="B112" s="11" t="s">
        <v>17</v>
      </c>
      <c r="C112" s="11" t="s">
        <v>837</v>
      </c>
      <c r="D112" s="12">
        <v>114383</v>
      </c>
      <c r="E112" s="65">
        <v>45883</v>
      </c>
      <c r="F112" s="14" t="s">
        <v>330</v>
      </c>
      <c r="G112" s="14"/>
      <c r="H112" s="13">
        <v>45884</v>
      </c>
      <c r="I112" s="15" t="s">
        <v>30</v>
      </c>
      <c r="J112" s="16">
        <v>3.6</v>
      </c>
      <c r="K112" s="16">
        <f>+J112*P112</f>
        <v>74736</v>
      </c>
      <c r="L112" s="12" t="s">
        <v>331</v>
      </c>
      <c r="M112" s="48" t="s">
        <v>49</v>
      </c>
      <c r="N112" s="21" t="s">
        <v>50</v>
      </c>
      <c r="O112" s="15" t="s">
        <v>332</v>
      </c>
      <c r="P112" s="17">
        <v>20760</v>
      </c>
      <c r="Q112" s="18">
        <v>4.5999999999999996</v>
      </c>
      <c r="R112" s="19">
        <f t="shared" si="3"/>
        <v>95495.999999999985</v>
      </c>
      <c r="S112" s="55" t="s">
        <v>129</v>
      </c>
    </row>
    <row r="113" spans="1:25" ht="15" customHeight="1" x14ac:dyDescent="0.25">
      <c r="A113" s="20" t="s">
        <v>21</v>
      </c>
      <c r="B113" s="11" t="s">
        <v>17</v>
      </c>
      <c r="C113" s="11" t="s">
        <v>837</v>
      </c>
      <c r="D113" s="12">
        <v>114382</v>
      </c>
      <c r="E113" s="65">
        <v>45883</v>
      </c>
      <c r="F113" s="14" t="s">
        <v>346</v>
      </c>
      <c r="G113" s="14"/>
      <c r="H113" s="13">
        <v>45884</v>
      </c>
      <c r="I113" s="15" t="s">
        <v>67</v>
      </c>
      <c r="J113" s="16">
        <v>1</v>
      </c>
      <c r="K113" s="16">
        <f>+J113*P113</f>
        <v>5760</v>
      </c>
      <c r="L113" s="12" t="s">
        <v>347</v>
      </c>
      <c r="M113" s="48" t="s">
        <v>49</v>
      </c>
      <c r="N113" s="21" t="s">
        <v>50</v>
      </c>
      <c r="O113" s="15" t="s">
        <v>348</v>
      </c>
      <c r="P113" s="17">
        <v>5760</v>
      </c>
      <c r="Q113" s="18">
        <v>1.2</v>
      </c>
      <c r="R113" s="19">
        <f t="shared" si="3"/>
        <v>6912</v>
      </c>
      <c r="S113" s="55" t="s">
        <v>129</v>
      </c>
    </row>
    <row r="114" spans="1:25" ht="15" customHeight="1" x14ac:dyDescent="0.25">
      <c r="A114" s="20" t="s">
        <v>21</v>
      </c>
      <c r="B114" s="11" t="s">
        <v>17</v>
      </c>
      <c r="C114" s="11" t="s">
        <v>838</v>
      </c>
      <c r="D114" s="12">
        <v>114449</v>
      </c>
      <c r="E114" s="65">
        <v>45883</v>
      </c>
      <c r="F114" s="14" t="s">
        <v>337</v>
      </c>
      <c r="G114" s="14"/>
      <c r="H114" s="13">
        <v>45884</v>
      </c>
      <c r="I114" s="15" t="s">
        <v>30</v>
      </c>
      <c r="J114" s="16">
        <v>3.6</v>
      </c>
      <c r="K114" s="16">
        <f>+J114*P114</f>
        <v>63576</v>
      </c>
      <c r="L114" s="12" t="s">
        <v>338</v>
      </c>
      <c r="M114" s="48" t="s">
        <v>335</v>
      </c>
      <c r="N114" s="21" t="s">
        <v>82</v>
      </c>
      <c r="O114" s="15" t="s">
        <v>339</v>
      </c>
      <c r="P114" s="17">
        <v>17660</v>
      </c>
      <c r="Q114" s="18">
        <v>5.37</v>
      </c>
      <c r="R114" s="19">
        <f t="shared" si="3"/>
        <v>94834.2</v>
      </c>
      <c r="S114" s="1">
        <v>8731</v>
      </c>
      <c r="T114" s="1" t="s">
        <v>823</v>
      </c>
      <c r="U114" s="1" t="s">
        <v>824</v>
      </c>
      <c r="V114" s="5">
        <v>7505</v>
      </c>
      <c r="W114" s="5">
        <v>1200.8</v>
      </c>
      <c r="X114" s="5">
        <v>300.2</v>
      </c>
      <c r="Y114" s="5">
        <v>8405.5999999999985</v>
      </c>
    </row>
    <row r="115" spans="1:25" ht="15" customHeight="1" x14ac:dyDescent="0.25">
      <c r="A115" s="20" t="s">
        <v>21</v>
      </c>
      <c r="B115" s="32" t="s">
        <v>17</v>
      </c>
      <c r="C115" s="11" t="s">
        <v>830</v>
      </c>
      <c r="D115" s="32">
        <v>1488</v>
      </c>
      <c r="E115" s="67" t="s">
        <v>549</v>
      </c>
      <c r="F115" s="34" t="s">
        <v>550</v>
      </c>
      <c r="G115" s="34"/>
      <c r="H115" s="32" t="s">
        <v>530</v>
      </c>
      <c r="I115" s="32" t="s">
        <v>30</v>
      </c>
      <c r="J115" s="16">
        <v>3.2</v>
      </c>
      <c r="K115" s="16">
        <f>+J115*P115</f>
        <v>82848</v>
      </c>
      <c r="L115" s="12"/>
      <c r="M115" s="50" t="s">
        <v>551</v>
      </c>
      <c r="N115" s="35" t="s">
        <v>106</v>
      </c>
      <c r="O115" s="33" t="s">
        <v>552</v>
      </c>
      <c r="P115" s="17">
        <v>25890</v>
      </c>
      <c r="Q115" s="37">
        <v>5.58</v>
      </c>
      <c r="R115" s="19">
        <v>144466.20000000001</v>
      </c>
      <c r="S115" s="58">
        <v>26694</v>
      </c>
      <c r="T115" s="61" t="s">
        <v>798</v>
      </c>
      <c r="U115" s="59" t="s">
        <v>799</v>
      </c>
      <c r="V115" s="60">
        <v>49449.9</v>
      </c>
      <c r="W115" s="60">
        <v>7911.9840000000004</v>
      </c>
      <c r="X115" s="60">
        <v>1977.9960000000001</v>
      </c>
      <c r="Y115" s="60">
        <v>55383.888000000006</v>
      </c>
    </row>
    <row r="116" spans="1:25" ht="15" customHeight="1" x14ac:dyDescent="0.25">
      <c r="A116" s="20" t="s">
        <v>21</v>
      </c>
      <c r="B116" s="32" t="s">
        <v>17</v>
      </c>
      <c r="C116" s="11" t="s">
        <v>833</v>
      </c>
      <c r="D116" s="32" t="s">
        <v>514</v>
      </c>
      <c r="E116" s="67" t="s">
        <v>515</v>
      </c>
      <c r="F116" s="14" t="s">
        <v>516</v>
      </c>
      <c r="G116" s="14"/>
      <c r="H116" s="32" t="s">
        <v>495</v>
      </c>
      <c r="I116" s="33" t="s">
        <v>109</v>
      </c>
      <c r="J116" s="16">
        <v>3.2</v>
      </c>
      <c r="K116" s="16">
        <f>+J116*P116</f>
        <v>78720</v>
      </c>
      <c r="L116" s="12" t="s">
        <v>517</v>
      </c>
      <c r="M116" s="50" t="s">
        <v>110</v>
      </c>
      <c r="N116" s="35" t="s">
        <v>111</v>
      </c>
      <c r="O116" s="33" t="s">
        <v>518</v>
      </c>
      <c r="P116" s="17">
        <v>24600</v>
      </c>
      <c r="Q116" s="37">
        <v>5.3</v>
      </c>
      <c r="R116" s="19">
        <f t="shared" ref="R116:R125" si="4">+P116*Q116</f>
        <v>130380</v>
      </c>
      <c r="S116" s="1">
        <v>22017</v>
      </c>
      <c r="T116" s="1" t="s">
        <v>811</v>
      </c>
      <c r="U116" s="1" t="s">
        <v>812</v>
      </c>
      <c r="V116" s="5">
        <v>47478</v>
      </c>
      <c r="W116" s="5">
        <v>7596.4800000000005</v>
      </c>
      <c r="X116" s="5">
        <v>1899.1200000000001</v>
      </c>
      <c r="Y116" s="5">
        <v>53175.360000000001</v>
      </c>
    </row>
    <row r="117" spans="1:25" ht="15" customHeight="1" x14ac:dyDescent="0.25">
      <c r="A117" s="20" t="s">
        <v>21</v>
      </c>
      <c r="B117" s="32" t="s">
        <v>17</v>
      </c>
      <c r="C117" s="11" t="s">
        <v>833</v>
      </c>
      <c r="D117" s="32">
        <v>20795</v>
      </c>
      <c r="E117" s="67" t="s">
        <v>395</v>
      </c>
      <c r="F117" s="14" t="s">
        <v>396</v>
      </c>
      <c r="G117" s="14"/>
      <c r="H117" s="32" t="s">
        <v>367</v>
      </c>
      <c r="I117" s="33" t="s">
        <v>109</v>
      </c>
      <c r="J117" s="16">
        <v>3.2</v>
      </c>
      <c r="K117" s="16">
        <f>+J117*P117</f>
        <v>70976</v>
      </c>
      <c r="L117" s="12" t="s">
        <v>397</v>
      </c>
      <c r="M117" s="50" t="s">
        <v>110</v>
      </c>
      <c r="N117" s="35" t="s">
        <v>111</v>
      </c>
      <c r="O117" s="33" t="s">
        <v>398</v>
      </c>
      <c r="P117" s="17">
        <v>22180</v>
      </c>
      <c r="Q117" s="18">
        <v>5.3</v>
      </c>
      <c r="R117" s="19">
        <f t="shared" si="4"/>
        <v>117554</v>
      </c>
      <c r="S117" s="1">
        <v>2145</v>
      </c>
      <c r="T117" s="1" t="s">
        <v>817</v>
      </c>
      <c r="U117" s="1" t="s">
        <v>818</v>
      </c>
      <c r="V117" s="5">
        <v>42807.4</v>
      </c>
      <c r="W117" s="5">
        <v>6849.1840000000002</v>
      </c>
      <c r="X117" s="5">
        <v>1712.296</v>
      </c>
      <c r="Y117" s="5">
        <v>47944.288</v>
      </c>
    </row>
    <row r="118" spans="1:25" ht="15" customHeight="1" x14ac:dyDescent="0.25">
      <c r="A118" s="20" t="s">
        <v>21</v>
      </c>
      <c r="B118" s="32" t="s">
        <v>17</v>
      </c>
      <c r="C118" s="11" t="s">
        <v>838</v>
      </c>
      <c r="D118" s="32" t="s">
        <v>474</v>
      </c>
      <c r="E118" s="67" t="s">
        <v>395</v>
      </c>
      <c r="F118" s="14" t="s">
        <v>475</v>
      </c>
      <c r="G118" s="14"/>
      <c r="H118" s="32" t="s">
        <v>439</v>
      </c>
      <c r="I118" s="33" t="s">
        <v>127</v>
      </c>
      <c r="J118" s="16">
        <v>1</v>
      </c>
      <c r="K118" s="16">
        <f>+J118*P118</f>
        <v>7200</v>
      </c>
      <c r="L118" s="12" t="s">
        <v>476</v>
      </c>
      <c r="M118" s="50" t="s">
        <v>477</v>
      </c>
      <c r="N118" s="35" t="s">
        <v>478</v>
      </c>
      <c r="O118" s="33" t="s">
        <v>479</v>
      </c>
      <c r="P118" s="17">
        <v>7200</v>
      </c>
      <c r="Q118" s="37">
        <v>1.2</v>
      </c>
      <c r="R118" s="19">
        <f t="shared" si="4"/>
        <v>8640</v>
      </c>
      <c r="S118" s="1" t="s">
        <v>129</v>
      </c>
    </row>
    <row r="119" spans="1:25" ht="15" customHeight="1" x14ac:dyDescent="0.25">
      <c r="A119" s="20" t="s">
        <v>21</v>
      </c>
      <c r="B119" s="32" t="s">
        <v>17</v>
      </c>
      <c r="C119" s="11" t="s">
        <v>838</v>
      </c>
      <c r="D119" s="32">
        <v>114441</v>
      </c>
      <c r="E119" s="67" t="s">
        <v>388</v>
      </c>
      <c r="F119" s="14" t="s">
        <v>389</v>
      </c>
      <c r="G119" s="14"/>
      <c r="H119" s="32" t="s">
        <v>367</v>
      </c>
      <c r="I119" s="33" t="s">
        <v>127</v>
      </c>
      <c r="J119" s="16">
        <v>3.6</v>
      </c>
      <c r="K119" s="16">
        <f>+J119*P119</f>
        <v>77652</v>
      </c>
      <c r="L119" s="12" t="s">
        <v>390</v>
      </c>
      <c r="M119" s="50" t="s">
        <v>282</v>
      </c>
      <c r="N119" s="35" t="s">
        <v>283</v>
      </c>
      <c r="O119" s="33" t="s">
        <v>391</v>
      </c>
      <c r="P119" s="17">
        <v>21570</v>
      </c>
      <c r="Q119" s="18">
        <v>3.8</v>
      </c>
      <c r="R119" s="19">
        <f t="shared" si="4"/>
        <v>81966</v>
      </c>
      <c r="S119" s="1" t="s">
        <v>129</v>
      </c>
    </row>
    <row r="120" spans="1:25" ht="15" customHeight="1" x14ac:dyDescent="0.25">
      <c r="A120" s="20" t="s">
        <v>21</v>
      </c>
      <c r="B120" s="32" t="s">
        <v>17</v>
      </c>
      <c r="C120" s="11" t="s">
        <v>838</v>
      </c>
      <c r="D120" s="32">
        <v>114444</v>
      </c>
      <c r="E120" s="67" t="s">
        <v>388</v>
      </c>
      <c r="F120" s="14" t="s">
        <v>392</v>
      </c>
      <c r="G120" s="14"/>
      <c r="H120" s="32" t="s">
        <v>367</v>
      </c>
      <c r="I120" s="33" t="s">
        <v>127</v>
      </c>
      <c r="J120" s="16">
        <v>3.6</v>
      </c>
      <c r="K120" s="16">
        <f>+J120*P120</f>
        <v>78912</v>
      </c>
      <c r="L120" s="12" t="s">
        <v>393</v>
      </c>
      <c r="M120" s="50" t="s">
        <v>282</v>
      </c>
      <c r="N120" s="35" t="s">
        <v>283</v>
      </c>
      <c r="O120" s="33" t="s">
        <v>394</v>
      </c>
      <c r="P120" s="17">
        <v>21920</v>
      </c>
      <c r="Q120" s="18">
        <v>3.8</v>
      </c>
      <c r="R120" s="19">
        <f t="shared" si="4"/>
        <v>83296</v>
      </c>
      <c r="S120" s="1" t="s">
        <v>129</v>
      </c>
    </row>
    <row r="121" spans="1:25" ht="15" customHeight="1" x14ac:dyDescent="0.25">
      <c r="A121" s="20" t="s">
        <v>21</v>
      </c>
      <c r="B121" s="32" t="s">
        <v>17</v>
      </c>
      <c r="C121" s="11" t="s">
        <v>833</v>
      </c>
      <c r="D121" s="32">
        <v>20805</v>
      </c>
      <c r="E121" s="67" t="s">
        <v>372</v>
      </c>
      <c r="F121" s="34" t="s">
        <v>421</v>
      </c>
      <c r="G121" s="34"/>
      <c r="H121" s="32" t="s">
        <v>403</v>
      </c>
      <c r="I121" s="33" t="s">
        <v>109</v>
      </c>
      <c r="J121" s="16">
        <v>3.2</v>
      </c>
      <c r="K121" s="16">
        <f>+J121*P121</f>
        <v>82816</v>
      </c>
      <c r="L121" s="12" t="s">
        <v>422</v>
      </c>
      <c r="M121" s="50" t="s">
        <v>110</v>
      </c>
      <c r="N121" s="35" t="s">
        <v>111</v>
      </c>
      <c r="O121" s="33" t="s">
        <v>401</v>
      </c>
      <c r="P121" s="17">
        <v>25880</v>
      </c>
      <c r="Q121" s="37">
        <v>5.3</v>
      </c>
      <c r="R121" s="19">
        <f t="shared" si="4"/>
        <v>137164</v>
      </c>
      <c r="S121" s="1">
        <v>14628</v>
      </c>
      <c r="T121" s="1" t="s">
        <v>815</v>
      </c>
      <c r="U121" s="1" t="s">
        <v>816</v>
      </c>
      <c r="V121" s="5">
        <v>49948.4</v>
      </c>
      <c r="W121" s="5">
        <v>7991.7440000000006</v>
      </c>
      <c r="X121" s="5">
        <v>1997.9360000000001</v>
      </c>
      <c r="Y121" s="5">
        <v>55942.207999999999</v>
      </c>
    </row>
    <row r="122" spans="1:25" ht="15" customHeight="1" x14ac:dyDescent="0.25">
      <c r="A122" s="20" t="s">
        <v>21</v>
      </c>
      <c r="B122" s="32" t="s">
        <v>17</v>
      </c>
      <c r="C122" s="11" t="s">
        <v>834</v>
      </c>
      <c r="D122" s="32">
        <v>23723</v>
      </c>
      <c r="E122" s="67" t="s">
        <v>372</v>
      </c>
      <c r="F122" s="14" t="s">
        <v>385</v>
      </c>
      <c r="G122" s="14"/>
      <c r="H122" s="32" t="s">
        <v>367</v>
      </c>
      <c r="I122" s="33" t="s">
        <v>30</v>
      </c>
      <c r="J122" s="16">
        <v>3.6</v>
      </c>
      <c r="K122" s="16">
        <f>+J122*P122</f>
        <v>78120</v>
      </c>
      <c r="L122" s="12"/>
      <c r="M122" s="50" t="s">
        <v>386</v>
      </c>
      <c r="N122" s="35" t="s">
        <v>74</v>
      </c>
      <c r="O122" s="33" t="s">
        <v>387</v>
      </c>
      <c r="P122" s="17">
        <v>21700</v>
      </c>
      <c r="Q122" s="18">
        <v>4.5</v>
      </c>
      <c r="R122" s="19">
        <f t="shared" si="4"/>
        <v>97650</v>
      </c>
      <c r="S122" s="55" t="s">
        <v>129</v>
      </c>
    </row>
    <row r="123" spans="1:25" ht="15" customHeight="1" x14ac:dyDescent="0.25">
      <c r="A123" s="20" t="s">
        <v>21</v>
      </c>
      <c r="B123" s="32" t="s">
        <v>17</v>
      </c>
      <c r="C123" s="11" t="s">
        <v>834</v>
      </c>
      <c r="D123" s="32" t="s">
        <v>427</v>
      </c>
      <c r="E123" s="67" t="s">
        <v>372</v>
      </c>
      <c r="F123" s="34" t="s">
        <v>428</v>
      </c>
      <c r="G123" s="34"/>
      <c r="H123" s="32" t="s">
        <v>429</v>
      </c>
      <c r="I123" s="33" t="s">
        <v>30</v>
      </c>
      <c r="J123" s="16">
        <v>3.6</v>
      </c>
      <c r="K123" s="16">
        <f>+J123*P123</f>
        <v>89136</v>
      </c>
      <c r="L123" s="12"/>
      <c r="M123" s="50" t="s">
        <v>73</v>
      </c>
      <c r="N123" s="35" t="s">
        <v>74</v>
      </c>
      <c r="O123" s="33" t="s">
        <v>401</v>
      </c>
      <c r="P123" s="38">
        <v>24760</v>
      </c>
      <c r="Q123" s="37">
        <v>4.5</v>
      </c>
      <c r="R123" s="19">
        <f t="shared" si="4"/>
        <v>111420</v>
      </c>
      <c r="S123" s="55" t="s">
        <v>129</v>
      </c>
    </row>
    <row r="124" spans="1:25" ht="15" customHeight="1" x14ac:dyDescent="0.25">
      <c r="A124" s="20" t="s">
        <v>21</v>
      </c>
      <c r="B124" s="32" t="s">
        <v>17</v>
      </c>
      <c r="C124" s="11" t="s">
        <v>836</v>
      </c>
      <c r="D124" s="32" t="s">
        <v>371</v>
      </c>
      <c r="E124" s="67" t="s">
        <v>372</v>
      </c>
      <c r="F124" s="14" t="s">
        <v>373</v>
      </c>
      <c r="G124" s="14"/>
      <c r="H124" s="32" t="s">
        <v>367</v>
      </c>
      <c r="I124" s="33" t="s">
        <v>30</v>
      </c>
      <c r="J124" s="16">
        <v>3.6</v>
      </c>
      <c r="K124" s="16">
        <f>+J124*P124</f>
        <v>85356</v>
      </c>
      <c r="L124" s="12" t="s">
        <v>374</v>
      </c>
      <c r="M124" s="50" t="s">
        <v>32</v>
      </c>
      <c r="N124" s="35" t="s">
        <v>33</v>
      </c>
      <c r="O124" s="33" t="s">
        <v>375</v>
      </c>
      <c r="P124" s="17">
        <v>23710</v>
      </c>
      <c r="Q124" s="18">
        <v>5.39</v>
      </c>
      <c r="R124" s="19">
        <f t="shared" si="4"/>
        <v>127796.9</v>
      </c>
      <c r="S124" s="1">
        <v>3483</v>
      </c>
      <c r="T124" s="1" t="s">
        <v>821</v>
      </c>
      <c r="U124" s="1" t="s">
        <v>822</v>
      </c>
      <c r="V124" s="5">
        <v>15648.6</v>
      </c>
      <c r="W124" s="5">
        <v>2503.7760000000003</v>
      </c>
      <c r="X124" s="5">
        <v>625.94400000000007</v>
      </c>
      <c r="Y124" s="5">
        <v>17526.432000000001</v>
      </c>
    </row>
    <row r="125" spans="1:25" ht="15" customHeight="1" x14ac:dyDescent="0.25">
      <c r="A125" s="20" t="s">
        <v>21</v>
      </c>
      <c r="B125" s="32" t="s">
        <v>17</v>
      </c>
      <c r="C125" s="11" t="s">
        <v>837</v>
      </c>
      <c r="D125" s="32" t="s">
        <v>442</v>
      </c>
      <c r="E125" s="67" t="s">
        <v>372</v>
      </c>
      <c r="F125" s="14" t="s">
        <v>443</v>
      </c>
      <c r="G125" s="14"/>
      <c r="H125" s="32" t="s">
        <v>439</v>
      </c>
      <c r="I125" s="33" t="s">
        <v>30</v>
      </c>
      <c r="J125" s="16">
        <v>3.6</v>
      </c>
      <c r="K125" s="16">
        <f>+J125*P125</f>
        <v>78084</v>
      </c>
      <c r="L125" s="12" t="s">
        <v>444</v>
      </c>
      <c r="M125" s="50" t="s">
        <v>49</v>
      </c>
      <c r="N125" s="35" t="s">
        <v>50</v>
      </c>
      <c r="O125" s="33" t="s">
        <v>445</v>
      </c>
      <c r="P125" s="17">
        <v>21690</v>
      </c>
      <c r="Q125" s="37">
        <v>4.5999999999999996</v>
      </c>
      <c r="R125" s="19">
        <f t="shared" si="4"/>
        <v>99773.999999999985</v>
      </c>
      <c r="S125" s="55" t="s">
        <v>129</v>
      </c>
    </row>
    <row r="126" spans="1:25" ht="15" customHeight="1" x14ac:dyDescent="0.25">
      <c r="A126" s="20" t="s">
        <v>21</v>
      </c>
      <c r="B126" s="32" t="s">
        <v>17</v>
      </c>
      <c r="C126" s="11" t="s">
        <v>837</v>
      </c>
      <c r="D126" s="32" t="s">
        <v>636</v>
      </c>
      <c r="E126" s="67" t="s">
        <v>372</v>
      </c>
      <c r="F126" s="34" t="s">
        <v>637</v>
      </c>
      <c r="G126" s="34"/>
      <c r="H126" s="32" t="s">
        <v>626</v>
      </c>
      <c r="I126" s="33" t="s">
        <v>30</v>
      </c>
      <c r="J126" s="16">
        <v>3.6</v>
      </c>
      <c r="K126" s="16">
        <f>+J126*P126</f>
        <v>76644</v>
      </c>
      <c r="L126" s="12" t="s">
        <v>638</v>
      </c>
      <c r="M126" s="50" t="s">
        <v>49</v>
      </c>
      <c r="N126" s="35" t="s">
        <v>50</v>
      </c>
      <c r="O126" s="33" t="s">
        <v>639</v>
      </c>
      <c r="P126" s="38">
        <v>21290</v>
      </c>
      <c r="Q126" s="37">
        <v>4.5999999999999996</v>
      </c>
      <c r="R126" s="19">
        <v>97934</v>
      </c>
      <c r="S126" s="55" t="s">
        <v>129</v>
      </c>
    </row>
    <row r="127" spans="1:25" ht="15" customHeight="1" x14ac:dyDescent="0.25">
      <c r="A127" s="20" t="s">
        <v>21</v>
      </c>
      <c r="B127" s="32" t="s">
        <v>17</v>
      </c>
      <c r="C127" s="11" t="s">
        <v>838</v>
      </c>
      <c r="D127" s="32">
        <v>114454</v>
      </c>
      <c r="E127" s="67" t="s">
        <v>372</v>
      </c>
      <c r="F127" s="34" t="s">
        <v>402</v>
      </c>
      <c r="G127" s="34"/>
      <c r="H127" s="32" t="s">
        <v>403</v>
      </c>
      <c r="I127" s="33" t="s">
        <v>30</v>
      </c>
      <c r="J127" s="16">
        <v>3.6</v>
      </c>
      <c r="K127" s="16">
        <f>+J127*P127</f>
        <v>64296</v>
      </c>
      <c r="L127" s="36" t="s">
        <v>48</v>
      </c>
      <c r="M127" s="50" t="s">
        <v>335</v>
      </c>
      <c r="N127" s="35" t="s">
        <v>82</v>
      </c>
      <c r="O127" s="33" t="s">
        <v>404</v>
      </c>
      <c r="P127" s="17">
        <v>17860</v>
      </c>
      <c r="Q127" s="37">
        <v>5.37</v>
      </c>
      <c r="R127" s="19">
        <f t="shared" ref="R127:R140" si="5">+P127*Q127</f>
        <v>95908.2</v>
      </c>
      <c r="S127" s="1">
        <v>8736</v>
      </c>
      <c r="T127" s="1" t="s">
        <v>823</v>
      </c>
      <c r="U127" s="1" t="s">
        <v>824</v>
      </c>
      <c r="V127" s="5">
        <v>7505</v>
      </c>
      <c r="W127" s="5">
        <v>1200.8</v>
      </c>
      <c r="X127" s="5">
        <v>300.2</v>
      </c>
      <c r="Y127" s="5">
        <v>8405.5999999999985</v>
      </c>
    </row>
    <row r="128" spans="1:25" ht="15" customHeight="1" x14ac:dyDescent="0.25">
      <c r="A128" s="20" t="s">
        <v>21</v>
      </c>
      <c r="B128" s="32" t="s">
        <v>17</v>
      </c>
      <c r="C128" s="11" t="s">
        <v>838</v>
      </c>
      <c r="D128" s="32">
        <v>114453</v>
      </c>
      <c r="E128" s="67" t="s">
        <v>372</v>
      </c>
      <c r="F128" s="34" t="s">
        <v>410</v>
      </c>
      <c r="G128" s="34"/>
      <c r="H128" s="32" t="s">
        <v>403</v>
      </c>
      <c r="I128" s="33" t="s">
        <v>127</v>
      </c>
      <c r="J128" s="16">
        <v>3.6</v>
      </c>
      <c r="K128" s="16">
        <f>+J128*P128</f>
        <v>76068</v>
      </c>
      <c r="L128" s="36" t="s">
        <v>48</v>
      </c>
      <c r="M128" s="50" t="s">
        <v>282</v>
      </c>
      <c r="N128" s="35" t="s">
        <v>283</v>
      </c>
      <c r="O128" s="33" t="s">
        <v>411</v>
      </c>
      <c r="P128" s="17">
        <v>21130</v>
      </c>
      <c r="Q128" s="18">
        <v>3.8</v>
      </c>
      <c r="R128" s="19">
        <f t="shared" si="5"/>
        <v>80294</v>
      </c>
      <c r="S128" s="1" t="s">
        <v>129</v>
      </c>
    </row>
    <row r="129" spans="1:25" ht="15" customHeight="1" x14ac:dyDescent="0.25">
      <c r="A129" s="20" t="s">
        <v>21</v>
      </c>
      <c r="B129" s="32" t="s">
        <v>17</v>
      </c>
      <c r="C129" s="11" t="s">
        <v>833</v>
      </c>
      <c r="D129" s="32">
        <v>20807</v>
      </c>
      <c r="E129" s="67" t="s">
        <v>377</v>
      </c>
      <c r="F129" s="14" t="s">
        <v>399</v>
      </c>
      <c r="G129" s="14"/>
      <c r="H129" s="32" t="s">
        <v>367</v>
      </c>
      <c r="I129" s="33" t="s">
        <v>109</v>
      </c>
      <c r="J129" s="16">
        <v>3.2</v>
      </c>
      <c r="K129" s="16">
        <f>+J129*P129</f>
        <v>85056</v>
      </c>
      <c r="L129" s="12" t="s">
        <v>400</v>
      </c>
      <c r="M129" s="50" t="s">
        <v>110</v>
      </c>
      <c r="N129" s="35" t="s">
        <v>111</v>
      </c>
      <c r="O129" s="33" t="s">
        <v>401</v>
      </c>
      <c r="P129" s="17">
        <v>26580</v>
      </c>
      <c r="Q129" s="18">
        <v>5.3</v>
      </c>
      <c r="R129" s="19">
        <f t="shared" si="5"/>
        <v>140874</v>
      </c>
      <c r="S129" s="1">
        <v>22062</v>
      </c>
      <c r="T129" s="1" t="s">
        <v>811</v>
      </c>
      <c r="U129" s="1" t="s">
        <v>812</v>
      </c>
      <c r="V129" s="5">
        <v>51299.4</v>
      </c>
      <c r="W129" s="5">
        <v>8207.9040000000005</v>
      </c>
      <c r="X129" s="5">
        <v>2051.9760000000001</v>
      </c>
      <c r="Y129" s="5">
        <v>57455.328000000001</v>
      </c>
    </row>
    <row r="130" spans="1:25" ht="15" customHeight="1" x14ac:dyDescent="0.25">
      <c r="A130" s="20" t="s">
        <v>21</v>
      </c>
      <c r="B130" s="32" t="s">
        <v>17</v>
      </c>
      <c r="C130" s="11" t="s">
        <v>833</v>
      </c>
      <c r="D130" s="32">
        <v>20809</v>
      </c>
      <c r="E130" s="67" t="s">
        <v>377</v>
      </c>
      <c r="F130" s="34" t="s">
        <v>423</v>
      </c>
      <c r="G130" s="34"/>
      <c r="H130" s="32" t="s">
        <v>403</v>
      </c>
      <c r="I130" s="33" t="s">
        <v>109</v>
      </c>
      <c r="J130" s="16">
        <v>3.2</v>
      </c>
      <c r="K130" s="16">
        <f>+J130*P130</f>
        <v>79840</v>
      </c>
      <c r="L130" s="12" t="s">
        <v>424</v>
      </c>
      <c r="M130" s="50" t="s">
        <v>110</v>
      </c>
      <c r="N130" s="35" t="s">
        <v>111</v>
      </c>
      <c r="O130" s="33" t="s">
        <v>411</v>
      </c>
      <c r="P130" s="17">
        <v>24950</v>
      </c>
      <c r="Q130" s="37">
        <v>5.3</v>
      </c>
      <c r="R130" s="19">
        <f t="shared" si="5"/>
        <v>132235</v>
      </c>
      <c r="S130" s="1">
        <v>2261</v>
      </c>
      <c r="T130" s="1" t="s">
        <v>819</v>
      </c>
      <c r="U130" s="1" t="s">
        <v>820</v>
      </c>
      <c r="V130" s="5">
        <v>48153.5</v>
      </c>
      <c r="W130" s="5">
        <v>7704.56</v>
      </c>
      <c r="X130" s="5">
        <v>1926.14</v>
      </c>
      <c r="Y130" s="5">
        <v>53931.92</v>
      </c>
    </row>
    <row r="131" spans="1:25" ht="15" customHeight="1" x14ac:dyDescent="0.25">
      <c r="A131" s="20" t="s">
        <v>21</v>
      </c>
      <c r="B131" s="32" t="s">
        <v>17</v>
      </c>
      <c r="C131" s="11" t="s">
        <v>834</v>
      </c>
      <c r="D131" s="32" t="s">
        <v>430</v>
      </c>
      <c r="E131" s="67" t="s">
        <v>377</v>
      </c>
      <c r="F131" s="34" t="s">
        <v>431</v>
      </c>
      <c r="G131" s="34"/>
      <c r="H131" s="32" t="s">
        <v>429</v>
      </c>
      <c r="I131" s="33" t="s">
        <v>30</v>
      </c>
      <c r="J131" s="16">
        <v>3.6</v>
      </c>
      <c r="K131" s="16">
        <f>+J131*P131</f>
        <v>82692</v>
      </c>
      <c r="L131" s="12"/>
      <c r="M131" s="50" t="s">
        <v>73</v>
      </c>
      <c r="N131" s="35" t="s">
        <v>74</v>
      </c>
      <c r="O131" s="33" t="s">
        <v>411</v>
      </c>
      <c r="P131" s="38">
        <v>22970</v>
      </c>
      <c r="Q131" s="37">
        <v>4.5</v>
      </c>
      <c r="R131" s="19">
        <f t="shared" si="5"/>
        <v>103365</v>
      </c>
      <c r="S131" s="55" t="s">
        <v>129</v>
      </c>
    </row>
    <row r="132" spans="1:25" ht="15" customHeight="1" x14ac:dyDescent="0.25">
      <c r="A132" s="20" t="s">
        <v>21</v>
      </c>
      <c r="B132" s="32" t="s">
        <v>17</v>
      </c>
      <c r="C132" s="11" t="s">
        <v>836</v>
      </c>
      <c r="D132" s="32" t="s">
        <v>376</v>
      </c>
      <c r="E132" s="67" t="s">
        <v>377</v>
      </c>
      <c r="F132" s="14" t="s">
        <v>378</v>
      </c>
      <c r="G132" s="14"/>
      <c r="H132" s="32" t="s">
        <v>367</v>
      </c>
      <c r="I132" s="33" t="s">
        <v>30</v>
      </c>
      <c r="J132" s="16">
        <v>3.6</v>
      </c>
      <c r="K132" s="16">
        <f>+J132*P132</f>
        <v>88920</v>
      </c>
      <c r="L132" s="12" t="s">
        <v>379</v>
      </c>
      <c r="M132" s="50" t="s">
        <v>32</v>
      </c>
      <c r="N132" s="35" t="s">
        <v>33</v>
      </c>
      <c r="O132" s="33" t="s">
        <v>380</v>
      </c>
      <c r="P132" s="17">
        <v>24700</v>
      </c>
      <c r="Q132" s="18">
        <v>5.39</v>
      </c>
      <c r="R132" s="19">
        <f t="shared" si="5"/>
        <v>133133</v>
      </c>
      <c r="S132" s="1">
        <v>3484</v>
      </c>
      <c r="T132" s="1" t="s">
        <v>821</v>
      </c>
      <c r="U132" s="1" t="s">
        <v>822</v>
      </c>
      <c r="V132" s="5">
        <v>16302</v>
      </c>
      <c r="W132" s="5">
        <v>2608.3200000000002</v>
      </c>
      <c r="X132" s="5">
        <v>652.08000000000004</v>
      </c>
      <c r="Y132" s="5">
        <v>18258.239999999998</v>
      </c>
    </row>
    <row r="133" spans="1:25" ht="15" customHeight="1" x14ac:dyDescent="0.25">
      <c r="A133" s="20" t="s">
        <v>21</v>
      </c>
      <c r="B133" s="32" t="s">
        <v>17</v>
      </c>
      <c r="C133" s="11" t="s">
        <v>836</v>
      </c>
      <c r="D133" s="32" t="s">
        <v>381</v>
      </c>
      <c r="E133" s="67" t="s">
        <v>377</v>
      </c>
      <c r="F133" s="14" t="s">
        <v>382</v>
      </c>
      <c r="G133" s="14"/>
      <c r="H133" s="32" t="s">
        <v>367</v>
      </c>
      <c r="I133" s="33" t="s">
        <v>30</v>
      </c>
      <c r="J133" s="16">
        <v>3.6</v>
      </c>
      <c r="K133" s="16">
        <f>+J133*P133</f>
        <v>83196</v>
      </c>
      <c r="L133" s="12" t="s">
        <v>383</v>
      </c>
      <c r="M133" s="50" t="s">
        <v>32</v>
      </c>
      <c r="N133" s="35" t="s">
        <v>33</v>
      </c>
      <c r="O133" s="33" t="s">
        <v>384</v>
      </c>
      <c r="P133" s="17">
        <v>23110</v>
      </c>
      <c r="Q133" s="18">
        <v>5.39</v>
      </c>
      <c r="R133" s="19">
        <f t="shared" si="5"/>
        <v>124562.9</v>
      </c>
      <c r="S133" s="1">
        <v>3485</v>
      </c>
      <c r="T133" s="1" t="s">
        <v>821</v>
      </c>
      <c r="U133" s="1" t="s">
        <v>822</v>
      </c>
      <c r="V133" s="5">
        <v>15252.6</v>
      </c>
      <c r="W133" s="5">
        <v>2440.4160000000002</v>
      </c>
      <c r="X133" s="5">
        <v>610.10400000000004</v>
      </c>
      <c r="Y133" s="5">
        <v>17082.912</v>
      </c>
    </row>
    <row r="134" spans="1:25" ht="15" customHeight="1" x14ac:dyDescent="0.25">
      <c r="A134" s="20" t="s">
        <v>21</v>
      </c>
      <c r="B134" s="32" t="s">
        <v>17</v>
      </c>
      <c r="C134" s="11" t="s">
        <v>837</v>
      </c>
      <c r="D134" s="32" t="s">
        <v>446</v>
      </c>
      <c r="E134" s="67" t="s">
        <v>377</v>
      </c>
      <c r="F134" s="14" t="s">
        <v>447</v>
      </c>
      <c r="G134" s="14"/>
      <c r="H134" s="32" t="s">
        <v>439</v>
      </c>
      <c r="I134" s="33" t="s">
        <v>30</v>
      </c>
      <c r="J134" s="16">
        <v>3.6</v>
      </c>
      <c r="K134" s="16">
        <f>+J134*P134</f>
        <v>75672</v>
      </c>
      <c r="L134" s="12" t="s">
        <v>448</v>
      </c>
      <c r="M134" s="50" t="s">
        <v>49</v>
      </c>
      <c r="N134" s="35" t="s">
        <v>50</v>
      </c>
      <c r="O134" s="33" t="s">
        <v>449</v>
      </c>
      <c r="P134" s="17">
        <v>21020</v>
      </c>
      <c r="Q134" s="37">
        <v>4.5999999999999996</v>
      </c>
      <c r="R134" s="19">
        <f t="shared" si="5"/>
        <v>96691.999999999985</v>
      </c>
      <c r="S134" s="55" t="s">
        <v>129</v>
      </c>
    </row>
    <row r="135" spans="1:25" ht="15" customHeight="1" x14ac:dyDescent="0.25">
      <c r="A135" s="20" t="s">
        <v>21</v>
      </c>
      <c r="B135" s="32" t="s">
        <v>17</v>
      </c>
      <c r="C135" s="11" t="s">
        <v>837</v>
      </c>
      <c r="D135" s="32" t="s">
        <v>450</v>
      </c>
      <c r="E135" s="67" t="s">
        <v>377</v>
      </c>
      <c r="F135" s="14" t="s">
        <v>451</v>
      </c>
      <c r="G135" s="14"/>
      <c r="H135" s="32" t="s">
        <v>439</v>
      </c>
      <c r="I135" s="33" t="s">
        <v>30</v>
      </c>
      <c r="J135" s="16">
        <v>3.6</v>
      </c>
      <c r="K135" s="16">
        <f>+J135*P135</f>
        <v>73980</v>
      </c>
      <c r="L135" s="12" t="s">
        <v>452</v>
      </c>
      <c r="M135" s="50" t="s">
        <v>49</v>
      </c>
      <c r="N135" s="35" t="s">
        <v>50</v>
      </c>
      <c r="O135" s="33" t="s">
        <v>453</v>
      </c>
      <c r="P135" s="17">
        <v>20550</v>
      </c>
      <c r="Q135" s="37">
        <v>4.5999999999999996</v>
      </c>
      <c r="R135" s="19">
        <f t="shared" si="5"/>
        <v>94529.999999999985</v>
      </c>
      <c r="S135" s="55" t="s">
        <v>129</v>
      </c>
    </row>
    <row r="136" spans="1:25" ht="15" customHeight="1" x14ac:dyDescent="0.25">
      <c r="A136" s="20" t="s">
        <v>21</v>
      </c>
      <c r="B136" s="32" t="s">
        <v>17</v>
      </c>
      <c r="C136" s="11" t="s">
        <v>837</v>
      </c>
      <c r="D136" s="32" t="s">
        <v>466</v>
      </c>
      <c r="E136" s="67" t="s">
        <v>377</v>
      </c>
      <c r="F136" s="14" t="s">
        <v>467</v>
      </c>
      <c r="G136" s="14"/>
      <c r="H136" s="32" t="s">
        <v>439</v>
      </c>
      <c r="I136" s="33" t="s">
        <v>67</v>
      </c>
      <c r="J136" s="16">
        <v>1</v>
      </c>
      <c r="K136" s="16">
        <f>+J136*P136</f>
        <v>6620</v>
      </c>
      <c r="L136" s="12" t="s">
        <v>468</v>
      </c>
      <c r="M136" s="50" t="s">
        <v>49</v>
      </c>
      <c r="N136" s="35" t="s">
        <v>50</v>
      </c>
      <c r="O136" s="33" t="s">
        <v>469</v>
      </c>
      <c r="P136" s="17">
        <v>6620</v>
      </c>
      <c r="Q136" s="37">
        <v>1.2</v>
      </c>
      <c r="R136" s="19">
        <f t="shared" si="5"/>
        <v>7944</v>
      </c>
      <c r="S136" s="55" t="s">
        <v>129</v>
      </c>
    </row>
    <row r="137" spans="1:25" ht="15" customHeight="1" x14ac:dyDescent="0.25">
      <c r="A137" s="20" t="s">
        <v>21</v>
      </c>
      <c r="B137" s="32" t="s">
        <v>17</v>
      </c>
      <c r="C137" s="11" t="s">
        <v>838</v>
      </c>
      <c r="D137" s="32">
        <v>114456</v>
      </c>
      <c r="E137" s="67" t="s">
        <v>377</v>
      </c>
      <c r="F137" s="34" t="s">
        <v>412</v>
      </c>
      <c r="G137" s="34"/>
      <c r="H137" s="32" t="s">
        <v>403</v>
      </c>
      <c r="I137" s="33" t="s">
        <v>127</v>
      </c>
      <c r="J137" s="16">
        <v>3.6</v>
      </c>
      <c r="K137" s="16">
        <f>+J137*P137</f>
        <v>75060</v>
      </c>
      <c r="L137" s="36" t="s">
        <v>48</v>
      </c>
      <c r="M137" s="50" t="s">
        <v>282</v>
      </c>
      <c r="N137" s="35" t="s">
        <v>283</v>
      </c>
      <c r="O137" s="33" t="s">
        <v>413</v>
      </c>
      <c r="P137" s="17">
        <v>20850</v>
      </c>
      <c r="Q137" s="18">
        <v>3.8</v>
      </c>
      <c r="R137" s="19">
        <f t="shared" si="5"/>
        <v>79230</v>
      </c>
      <c r="S137" s="1" t="s">
        <v>129</v>
      </c>
    </row>
    <row r="138" spans="1:25" ht="15" customHeight="1" x14ac:dyDescent="0.25">
      <c r="A138" s="20" t="s">
        <v>21</v>
      </c>
      <c r="B138" s="32" t="s">
        <v>17</v>
      </c>
      <c r="C138" s="11" t="s">
        <v>837</v>
      </c>
      <c r="D138" s="32" t="s">
        <v>454</v>
      </c>
      <c r="E138" s="67" t="s">
        <v>405</v>
      </c>
      <c r="F138" s="14" t="s">
        <v>455</v>
      </c>
      <c r="G138" s="14"/>
      <c r="H138" s="32" t="s">
        <v>439</v>
      </c>
      <c r="I138" s="33" t="s">
        <v>30</v>
      </c>
      <c r="J138" s="16">
        <v>3.6</v>
      </c>
      <c r="K138" s="16">
        <f>+J138*P138</f>
        <v>71352</v>
      </c>
      <c r="L138" s="12" t="s">
        <v>456</v>
      </c>
      <c r="M138" s="50" t="s">
        <v>49</v>
      </c>
      <c r="N138" s="35" t="s">
        <v>50</v>
      </c>
      <c r="O138" s="33" t="s">
        <v>457</v>
      </c>
      <c r="P138" s="17">
        <v>19820</v>
      </c>
      <c r="Q138" s="37">
        <v>4.5999999999999996</v>
      </c>
      <c r="R138" s="19">
        <f t="shared" si="5"/>
        <v>91172</v>
      </c>
      <c r="S138" s="55" t="s">
        <v>129</v>
      </c>
    </row>
    <row r="139" spans="1:25" ht="15" customHeight="1" x14ac:dyDescent="0.25">
      <c r="A139" s="20" t="s">
        <v>21</v>
      </c>
      <c r="B139" s="32" t="s">
        <v>17</v>
      </c>
      <c r="C139" s="11" t="s">
        <v>838</v>
      </c>
      <c r="D139" s="32">
        <v>114457</v>
      </c>
      <c r="E139" s="67" t="s">
        <v>405</v>
      </c>
      <c r="F139" s="34" t="s">
        <v>406</v>
      </c>
      <c r="G139" s="34"/>
      <c r="H139" s="32" t="s">
        <v>403</v>
      </c>
      <c r="I139" s="33" t="s">
        <v>30</v>
      </c>
      <c r="J139" s="16">
        <v>3.6</v>
      </c>
      <c r="K139" s="16">
        <f>+J139*P139</f>
        <v>64332</v>
      </c>
      <c r="L139" s="36" t="s">
        <v>48</v>
      </c>
      <c r="M139" s="50" t="s">
        <v>335</v>
      </c>
      <c r="N139" s="35" t="s">
        <v>82</v>
      </c>
      <c r="O139" s="33" t="s">
        <v>407</v>
      </c>
      <c r="P139" s="17">
        <v>17870</v>
      </c>
      <c r="Q139" s="37">
        <v>5.37</v>
      </c>
      <c r="R139" s="19">
        <f t="shared" si="5"/>
        <v>95961.900000000009</v>
      </c>
      <c r="S139" s="1">
        <v>8739</v>
      </c>
      <c r="T139" s="1" t="s">
        <v>823</v>
      </c>
      <c r="U139" s="1" t="s">
        <v>824</v>
      </c>
      <c r="V139" s="5">
        <v>7505</v>
      </c>
      <c r="W139" s="5">
        <v>1200.8</v>
      </c>
      <c r="X139" s="5">
        <v>300.2</v>
      </c>
      <c r="Y139" s="5">
        <v>8405.5999999999985</v>
      </c>
    </row>
    <row r="140" spans="1:25" ht="15" customHeight="1" x14ac:dyDescent="0.25">
      <c r="A140" s="20" t="s">
        <v>21</v>
      </c>
      <c r="B140" s="32" t="s">
        <v>17</v>
      </c>
      <c r="C140" s="11" t="s">
        <v>838</v>
      </c>
      <c r="D140" s="32">
        <v>114460</v>
      </c>
      <c r="E140" s="67" t="s">
        <v>405</v>
      </c>
      <c r="F140" s="34" t="s">
        <v>408</v>
      </c>
      <c r="G140" s="34"/>
      <c r="H140" s="32" t="s">
        <v>403</v>
      </c>
      <c r="I140" s="33" t="s">
        <v>30</v>
      </c>
      <c r="J140" s="16">
        <v>3.6</v>
      </c>
      <c r="K140" s="16">
        <f>+J140*P140</f>
        <v>63072</v>
      </c>
      <c r="L140" s="36" t="s">
        <v>48</v>
      </c>
      <c r="M140" s="50" t="s">
        <v>335</v>
      </c>
      <c r="N140" s="35" t="s">
        <v>82</v>
      </c>
      <c r="O140" s="33" t="s">
        <v>409</v>
      </c>
      <c r="P140" s="17">
        <v>17520</v>
      </c>
      <c r="Q140" s="37">
        <v>5.37</v>
      </c>
      <c r="R140" s="19">
        <f t="shared" si="5"/>
        <v>94082.400000000009</v>
      </c>
      <c r="S140" s="1">
        <v>8741</v>
      </c>
      <c r="T140" s="1" t="s">
        <v>823</v>
      </c>
      <c r="U140" s="1" t="s">
        <v>824</v>
      </c>
      <c r="V140" s="5">
        <v>7505</v>
      </c>
      <c r="W140" s="5">
        <v>1200.8</v>
      </c>
      <c r="X140" s="5">
        <v>300.2</v>
      </c>
      <c r="Y140" s="5">
        <v>8405.5999999999985</v>
      </c>
    </row>
    <row r="141" spans="1:25" ht="15" customHeight="1" x14ac:dyDescent="0.25">
      <c r="A141" s="20" t="s">
        <v>21</v>
      </c>
      <c r="B141" s="32" t="s">
        <v>17</v>
      </c>
      <c r="C141" s="11" t="s">
        <v>830</v>
      </c>
      <c r="D141" s="32">
        <v>1489</v>
      </c>
      <c r="E141" s="67" t="s">
        <v>367</v>
      </c>
      <c r="F141" s="34" t="s">
        <v>553</v>
      </c>
      <c r="G141" s="34"/>
      <c r="H141" s="32" t="s">
        <v>530</v>
      </c>
      <c r="I141" s="32" t="s">
        <v>30</v>
      </c>
      <c r="J141" s="16">
        <v>3.2</v>
      </c>
      <c r="K141" s="16">
        <f>+J141*P141</f>
        <v>81145.600000000006</v>
      </c>
      <c r="L141" s="12"/>
      <c r="M141" s="50" t="s">
        <v>551</v>
      </c>
      <c r="N141" s="35" t="s">
        <v>106</v>
      </c>
      <c r="O141" s="33" t="s">
        <v>554</v>
      </c>
      <c r="P141" s="17">
        <v>25358</v>
      </c>
      <c r="Q141" s="37">
        <v>5.58</v>
      </c>
      <c r="R141" s="19">
        <v>141497.64000000001</v>
      </c>
      <c r="S141" s="58">
        <v>26778</v>
      </c>
      <c r="T141" s="61" t="s">
        <v>798</v>
      </c>
      <c r="U141" s="59" t="s">
        <v>799</v>
      </c>
      <c r="V141" s="60">
        <v>48433.78</v>
      </c>
      <c r="W141" s="60">
        <v>7749.4048000000003</v>
      </c>
      <c r="X141" s="60">
        <v>1937.3512000000001</v>
      </c>
      <c r="Y141" s="60">
        <v>54245.833600000005</v>
      </c>
    </row>
    <row r="142" spans="1:25" ht="15" customHeight="1" x14ac:dyDescent="0.25">
      <c r="A142" s="20" t="s">
        <v>21</v>
      </c>
      <c r="B142" s="32" t="s">
        <v>17</v>
      </c>
      <c r="C142" s="11" t="s">
        <v>831</v>
      </c>
      <c r="D142" s="32">
        <v>10144</v>
      </c>
      <c r="E142" s="67" t="s">
        <v>367</v>
      </c>
      <c r="F142" s="14" t="s">
        <v>368</v>
      </c>
      <c r="G142" s="14"/>
      <c r="H142" s="32" t="s">
        <v>367</v>
      </c>
      <c r="I142" s="33" t="s">
        <v>19</v>
      </c>
      <c r="J142" s="16">
        <v>3.6</v>
      </c>
      <c r="K142" s="16">
        <f>+J142*P142</f>
        <v>71521.2</v>
      </c>
      <c r="L142" s="31" t="s">
        <v>369</v>
      </c>
      <c r="M142" s="50" t="s">
        <v>306</v>
      </c>
      <c r="N142" s="35" t="s">
        <v>23</v>
      </c>
      <c r="O142" s="33" t="s">
        <v>370</v>
      </c>
      <c r="P142" s="17">
        <v>19867</v>
      </c>
      <c r="Q142" s="18">
        <v>5.29</v>
      </c>
      <c r="R142" s="19">
        <f t="shared" ref="R142:R155" si="6">+P142*Q142</f>
        <v>105096.43000000001</v>
      </c>
      <c r="S142" s="1">
        <v>948</v>
      </c>
      <c r="T142" s="1" t="s">
        <v>801</v>
      </c>
      <c r="U142" s="1" t="s">
        <v>802</v>
      </c>
      <c r="V142" s="5">
        <v>15005</v>
      </c>
      <c r="W142" s="5">
        <v>2400.8000000000002</v>
      </c>
      <c r="X142" s="5">
        <v>600.20000000000005</v>
      </c>
      <c r="Y142" s="5">
        <v>16805.599999999999</v>
      </c>
    </row>
    <row r="143" spans="1:25" ht="15" customHeight="1" x14ac:dyDescent="0.25">
      <c r="A143" s="20" t="s">
        <v>21</v>
      </c>
      <c r="B143" s="32" t="s">
        <v>17</v>
      </c>
      <c r="C143" s="11" t="s">
        <v>834</v>
      </c>
      <c r="D143" s="32" t="s">
        <v>432</v>
      </c>
      <c r="E143" s="67" t="s">
        <v>367</v>
      </c>
      <c r="F143" s="34" t="s">
        <v>433</v>
      </c>
      <c r="G143" s="34"/>
      <c r="H143" s="32" t="s">
        <v>429</v>
      </c>
      <c r="I143" s="33" t="s">
        <v>30</v>
      </c>
      <c r="J143" s="16">
        <v>3.6</v>
      </c>
      <c r="K143" s="16">
        <f>+J143*P143</f>
        <v>80460</v>
      </c>
      <c r="L143" s="12"/>
      <c r="M143" s="50" t="s">
        <v>73</v>
      </c>
      <c r="N143" s="35" t="s">
        <v>74</v>
      </c>
      <c r="O143" s="33" t="s">
        <v>413</v>
      </c>
      <c r="P143" s="38">
        <v>22350</v>
      </c>
      <c r="Q143" s="37">
        <v>4.5</v>
      </c>
      <c r="R143" s="19">
        <f t="shared" si="6"/>
        <v>100575</v>
      </c>
      <c r="S143" s="55" t="s">
        <v>129</v>
      </c>
    </row>
    <row r="144" spans="1:25" ht="15" customHeight="1" x14ac:dyDescent="0.25">
      <c r="A144" s="20" t="s">
        <v>21</v>
      </c>
      <c r="B144" s="32" t="s">
        <v>17</v>
      </c>
      <c r="C144" s="11" t="s">
        <v>837</v>
      </c>
      <c r="D144" s="32" t="s">
        <v>458</v>
      </c>
      <c r="E144" s="67" t="s">
        <v>367</v>
      </c>
      <c r="F144" s="14" t="s">
        <v>459</v>
      </c>
      <c r="G144" s="14"/>
      <c r="H144" s="32" t="s">
        <v>439</v>
      </c>
      <c r="I144" s="33" t="s">
        <v>30</v>
      </c>
      <c r="J144" s="16">
        <v>3.6</v>
      </c>
      <c r="K144" s="16">
        <f>+J144*P144</f>
        <v>76104</v>
      </c>
      <c r="L144" s="12" t="s">
        <v>460</v>
      </c>
      <c r="M144" s="50" t="s">
        <v>49</v>
      </c>
      <c r="N144" s="35" t="s">
        <v>50</v>
      </c>
      <c r="O144" s="33" t="s">
        <v>461</v>
      </c>
      <c r="P144" s="17">
        <v>21140</v>
      </c>
      <c r="Q144" s="37">
        <v>4.5999999999999996</v>
      </c>
      <c r="R144" s="19">
        <f t="shared" si="6"/>
        <v>97243.999999999985</v>
      </c>
      <c r="S144" s="55" t="s">
        <v>129</v>
      </c>
    </row>
    <row r="145" spans="1:25" ht="15" customHeight="1" x14ac:dyDescent="0.25">
      <c r="A145" s="20" t="s">
        <v>21</v>
      </c>
      <c r="B145" s="32" t="s">
        <v>17</v>
      </c>
      <c r="C145" s="11" t="s">
        <v>837</v>
      </c>
      <c r="D145" s="32" t="s">
        <v>470</v>
      </c>
      <c r="E145" s="67" t="s">
        <v>367</v>
      </c>
      <c r="F145" s="14" t="s">
        <v>471</v>
      </c>
      <c r="G145" s="14"/>
      <c r="H145" s="32" t="s">
        <v>439</v>
      </c>
      <c r="I145" s="33" t="s">
        <v>67</v>
      </c>
      <c r="J145" s="16">
        <v>1</v>
      </c>
      <c r="K145" s="16">
        <f>+J145*P145</f>
        <v>6790</v>
      </c>
      <c r="L145" s="12" t="s">
        <v>472</v>
      </c>
      <c r="M145" s="50" t="s">
        <v>49</v>
      </c>
      <c r="N145" s="35" t="s">
        <v>50</v>
      </c>
      <c r="O145" s="33" t="s">
        <v>473</v>
      </c>
      <c r="P145" s="17">
        <v>6790</v>
      </c>
      <c r="Q145" s="37">
        <v>1.2</v>
      </c>
      <c r="R145" s="19">
        <f t="shared" si="6"/>
        <v>8148</v>
      </c>
      <c r="S145" s="55" t="s">
        <v>129</v>
      </c>
    </row>
    <row r="146" spans="1:25" ht="15" customHeight="1" x14ac:dyDescent="0.25">
      <c r="A146" s="20" t="s">
        <v>21</v>
      </c>
      <c r="B146" s="32" t="s">
        <v>17</v>
      </c>
      <c r="C146" s="11" t="s">
        <v>833</v>
      </c>
      <c r="D146" s="32">
        <v>20810</v>
      </c>
      <c r="E146" s="67" t="s">
        <v>403</v>
      </c>
      <c r="F146" s="34" t="s">
        <v>425</v>
      </c>
      <c r="G146" s="34"/>
      <c r="H146" s="32" t="s">
        <v>403</v>
      </c>
      <c r="I146" s="33" t="s">
        <v>109</v>
      </c>
      <c r="J146" s="16">
        <v>3.2</v>
      </c>
      <c r="K146" s="16">
        <f>+J146*P146</f>
        <v>85760</v>
      </c>
      <c r="L146" s="12" t="s">
        <v>426</v>
      </c>
      <c r="M146" s="50" t="s">
        <v>110</v>
      </c>
      <c r="N146" s="35" t="s">
        <v>111</v>
      </c>
      <c r="O146" s="33" t="s">
        <v>413</v>
      </c>
      <c r="P146" s="17">
        <v>26800</v>
      </c>
      <c r="Q146" s="37">
        <v>5.3</v>
      </c>
      <c r="R146" s="19">
        <f t="shared" si="6"/>
        <v>142040</v>
      </c>
      <c r="S146" s="1">
        <v>6048</v>
      </c>
      <c r="T146" s="1" t="s">
        <v>809</v>
      </c>
      <c r="U146" s="1" t="s">
        <v>810</v>
      </c>
      <c r="V146" s="5">
        <v>51724</v>
      </c>
      <c r="W146" s="5">
        <v>8275.84</v>
      </c>
      <c r="X146" s="5">
        <v>2068.96</v>
      </c>
      <c r="Y146" s="5">
        <v>57930.879999999997</v>
      </c>
    </row>
    <row r="147" spans="1:25" ht="15" customHeight="1" x14ac:dyDescent="0.25">
      <c r="A147" s="20" t="s">
        <v>21</v>
      </c>
      <c r="B147" s="32" t="s">
        <v>17</v>
      </c>
      <c r="C147" s="11" t="s">
        <v>834</v>
      </c>
      <c r="D147" s="32" t="s">
        <v>434</v>
      </c>
      <c r="E147" s="67" t="s">
        <v>403</v>
      </c>
      <c r="F147" s="34" t="s">
        <v>435</v>
      </c>
      <c r="G147" s="34"/>
      <c r="H147" s="32" t="s">
        <v>429</v>
      </c>
      <c r="I147" s="33" t="s">
        <v>30</v>
      </c>
      <c r="J147" s="16">
        <v>3.6</v>
      </c>
      <c r="K147" s="16">
        <f>+J147*P147</f>
        <v>93384</v>
      </c>
      <c r="L147" s="34"/>
      <c r="M147" s="50" t="s">
        <v>73</v>
      </c>
      <c r="N147" s="35" t="s">
        <v>74</v>
      </c>
      <c r="O147" s="33" t="s">
        <v>436</v>
      </c>
      <c r="P147" s="38">
        <v>25940</v>
      </c>
      <c r="Q147" s="37">
        <v>4.5</v>
      </c>
      <c r="R147" s="19">
        <f t="shared" si="6"/>
        <v>116730</v>
      </c>
      <c r="S147" s="55" t="s">
        <v>129</v>
      </c>
    </row>
    <row r="148" spans="1:25" ht="15" customHeight="1" x14ac:dyDescent="0.25">
      <c r="A148" s="20" t="s">
        <v>21</v>
      </c>
      <c r="B148" s="32" t="s">
        <v>17</v>
      </c>
      <c r="C148" s="11" t="s">
        <v>836</v>
      </c>
      <c r="D148" s="32" t="s">
        <v>414</v>
      </c>
      <c r="E148" s="67" t="s">
        <v>403</v>
      </c>
      <c r="F148" s="34" t="s">
        <v>415</v>
      </c>
      <c r="G148" s="34"/>
      <c r="H148" s="32" t="s">
        <v>403</v>
      </c>
      <c r="I148" s="33" t="s">
        <v>30</v>
      </c>
      <c r="J148" s="16">
        <v>3.6</v>
      </c>
      <c r="K148" s="16">
        <f>+J148*P148</f>
        <v>90108</v>
      </c>
      <c r="L148" s="12" t="s">
        <v>416</v>
      </c>
      <c r="M148" s="50" t="s">
        <v>32</v>
      </c>
      <c r="N148" s="35" t="s">
        <v>33</v>
      </c>
      <c r="O148" s="33" t="s">
        <v>398</v>
      </c>
      <c r="P148" s="17">
        <v>25030</v>
      </c>
      <c r="Q148" s="37">
        <v>5.39</v>
      </c>
      <c r="R148" s="19">
        <f t="shared" si="6"/>
        <v>134911.69999999998</v>
      </c>
      <c r="S148" s="1">
        <v>3468</v>
      </c>
      <c r="T148" s="1" t="s">
        <v>821</v>
      </c>
      <c r="U148" s="1" t="s">
        <v>822</v>
      </c>
      <c r="V148" s="5">
        <v>16519.8</v>
      </c>
      <c r="W148" s="5">
        <v>2643.1680000000001</v>
      </c>
      <c r="X148" s="5">
        <v>660.79200000000003</v>
      </c>
      <c r="Y148" s="5">
        <v>18502.175999999999</v>
      </c>
    </row>
    <row r="149" spans="1:25" ht="15" customHeight="1" x14ac:dyDescent="0.25">
      <c r="A149" s="20" t="s">
        <v>21</v>
      </c>
      <c r="B149" s="32" t="s">
        <v>17</v>
      </c>
      <c r="C149" s="11" t="s">
        <v>836</v>
      </c>
      <c r="D149" s="32" t="s">
        <v>417</v>
      </c>
      <c r="E149" s="67" t="s">
        <v>403</v>
      </c>
      <c r="F149" s="34" t="s">
        <v>418</v>
      </c>
      <c r="G149" s="34"/>
      <c r="H149" s="32" t="s">
        <v>403</v>
      </c>
      <c r="I149" s="33" t="s">
        <v>30</v>
      </c>
      <c r="J149" s="16">
        <v>3.6</v>
      </c>
      <c r="K149" s="16">
        <f>+J149*P149</f>
        <v>87408</v>
      </c>
      <c r="L149" s="12" t="s">
        <v>419</v>
      </c>
      <c r="M149" s="50" t="s">
        <v>32</v>
      </c>
      <c r="N149" s="35" t="s">
        <v>33</v>
      </c>
      <c r="O149" s="33" t="s">
        <v>409</v>
      </c>
      <c r="P149" s="17">
        <v>24280</v>
      </c>
      <c r="Q149" s="37">
        <v>5.39</v>
      </c>
      <c r="R149" s="19">
        <f t="shared" si="6"/>
        <v>130869.2</v>
      </c>
      <c r="S149" s="1">
        <v>3474</v>
      </c>
      <c r="T149" s="1" t="s">
        <v>821</v>
      </c>
      <c r="U149" s="1" t="s">
        <v>822</v>
      </c>
      <c r="V149" s="5">
        <v>16024.800000000001</v>
      </c>
      <c r="W149" s="5">
        <v>2563.9680000000003</v>
      </c>
      <c r="X149" s="5">
        <v>640.99200000000008</v>
      </c>
      <c r="Y149" s="5">
        <v>17947.776000000002</v>
      </c>
    </row>
    <row r="150" spans="1:25" ht="15" customHeight="1" x14ac:dyDescent="0.25">
      <c r="A150" s="20" t="s">
        <v>21</v>
      </c>
      <c r="B150" s="32" t="s">
        <v>17</v>
      </c>
      <c r="C150" s="11" t="s">
        <v>837</v>
      </c>
      <c r="D150" s="32" t="s">
        <v>462</v>
      </c>
      <c r="E150" s="67" t="s">
        <v>403</v>
      </c>
      <c r="F150" s="14" t="s">
        <v>463</v>
      </c>
      <c r="G150" s="14"/>
      <c r="H150" s="32" t="s">
        <v>439</v>
      </c>
      <c r="I150" s="33" t="s">
        <v>30</v>
      </c>
      <c r="J150" s="16">
        <v>3.6</v>
      </c>
      <c r="K150" s="16">
        <f>+J150*P150</f>
        <v>69408</v>
      </c>
      <c r="L150" s="12" t="s">
        <v>464</v>
      </c>
      <c r="M150" s="50" t="s">
        <v>49</v>
      </c>
      <c r="N150" s="35" t="s">
        <v>50</v>
      </c>
      <c r="O150" s="33" t="s">
        <v>465</v>
      </c>
      <c r="P150" s="17">
        <v>19280</v>
      </c>
      <c r="Q150" s="37">
        <v>4.5999999999999996</v>
      </c>
      <c r="R150" s="19">
        <f t="shared" si="6"/>
        <v>88688</v>
      </c>
      <c r="S150" s="55" t="s">
        <v>129</v>
      </c>
    </row>
    <row r="151" spans="1:25" ht="15" customHeight="1" x14ac:dyDescent="0.25">
      <c r="A151" s="20" t="s">
        <v>21</v>
      </c>
      <c r="B151" s="32" t="s">
        <v>17</v>
      </c>
      <c r="C151" s="11" t="s">
        <v>838</v>
      </c>
      <c r="D151" s="32">
        <v>114463</v>
      </c>
      <c r="E151" s="67" t="s">
        <v>403</v>
      </c>
      <c r="F151" s="34" t="s">
        <v>420</v>
      </c>
      <c r="G151" s="34"/>
      <c r="H151" s="32" t="s">
        <v>403</v>
      </c>
      <c r="I151" s="33" t="s">
        <v>127</v>
      </c>
      <c r="J151" s="16">
        <v>3.6</v>
      </c>
      <c r="K151" s="16">
        <f>+J151*P151</f>
        <v>80280</v>
      </c>
      <c r="L151" s="36" t="s">
        <v>48</v>
      </c>
      <c r="M151" s="50" t="s">
        <v>282</v>
      </c>
      <c r="N151" s="35" t="s">
        <v>283</v>
      </c>
      <c r="O151" s="33" t="s">
        <v>409</v>
      </c>
      <c r="P151" s="17">
        <v>22300</v>
      </c>
      <c r="Q151" s="18">
        <v>3.8</v>
      </c>
      <c r="R151" s="19">
        <f t="shared" si="6"/>
        <v>84740</v>
      </c>
      <c r="S151" s="1" t="s">
        <v>129</v>
      </c>
    </row>
    <row r="152" spans="1:25" ht="15" customHeight="1" x14ac:dyDescent="0.25">
      <c r="A152" s="20" t="s">
        <v>21</v>
      </c>
      <c r="B152" s="32" t="s">
        <v>17</v>
      </c>
      <c r="C152" s="11" t="s">
        <v>838</v>
      </c>
      <c r="D152" s="32" t="s">
        <v>480</v>
      </c>
      <c r="E152" s="67" t="s">
        <v>403</v>
      </c>
      <c r="F152" s="14" t="s">
        <v>481</v>
      </c>
      <c r="G152" s="14"/>
      <c r="H152" s="32" t="s">
        <v>439</v>
      </c>
      <c r="I152" s="33" t="s">
        <v>127</v>
      </c>
      <c r="J152" s="16">
        <v>3.6</v>
      </c>
      <c r="K152" s="16">
        <f>+J152*P152</f>
        <v>79992</v>
      </c>
      <c r="L152" s="36" t="s">
        <v>48</v>
      </c>
      <c r="M152" s="50" t="s">
        <v>282</v>
      </c>
      <c r="N152" s="35" t="s">
        <v>283</v>
      </c>
      <c r="O152" s="33" t="s">
        <v>482</v>
      </c>
      <c r="P152" s="17">
        <v>22220</v>
      </c>
      <c r="Q152" s="37">
        <v>3.8</v>
      </c>
      <c r="R152" s="19">
        <f t="shared" si="6"/>
        <v>84436</v>
      </c>
      <c r="S152" s="1" t="s">
        <v>129</v>
      </c>
    </row>
    <row r="153" spans="1:25" ht="15" customHeight="1" x14ac:dyDescent="0.25">
      <c r="A153" s="20" t="s">
        <v>21</v>
      </c>
      <c r="B153" s="32" t="s">
        <v>17</v>
      </c>
      <c r="C153" s="11" t="s">
        <v>831</v>
      </c>
      <c r="D153" s="32" t="s">
        <v>437</v>
      </c>
      <c r="E153" s="67" t="s">
        <v>429</v>
      </c>
      <c r="F153" s="34" t="s">
        <v>438</v>
      </c>
      <c r="G153" s="34"/>
      <c r="H153" s="32" t="s">
        <v>439</v>
      </c>
      <c r="I153" s="33" t="s">
        <v>19</v>
      </c>
      <c r="J153" s="16">
        <v>3.5</v>
      </c>
      <c r="K153" s="16">
        <f>+J153*P153</f>
        <v>69926.5</v>
      </c>
      <c r="L153" s="32" t="s">
        <v>440</v>
      </c>
      <c r="M153" s="50" t="s">
        <v>306</v>
      </c>
      <c r="N153" s="35" t="s">
        <v>23</v>
      </c>
      <c r="O153" s="33" t="s">
        <v>441</v>
      </c>
      <c r="P153" s="17">
        <v>19979</v>
      </c>
      <c r="Q153" s="37">
        <v>5.29</v>
      </c>
      <c r="R153" s="19">
        <f t="shared" si="6"/>
        <v>105688.91</v>
      </c>
      <c r="S153" s="1">
        <v>950</v>
      </c>
      <c r="T153" s="1" t="s">
        <v>801</v>
      </c>
      <c r="U153" s="1" t="s">
        <v>802</v>
      </c>
      <c r="V153" s="5">
        <v>15005</v>
      </c>
      <c r="W153" s="5">
        <v>2400.8000000000002</v>
      </c>
      <c r="X153" s="5">
        <v>600.20000000000005</v>
      </c>
      <c r="Y153" s="5">
        <v>16805.599999999999</v>
      </c>
    </row>
    <row r="154" spans="1:25" ht="15" customHeight="1" x14ac:dyDescent="0.25">
      <c r="A154" s="20" t="s">
        <v>21</v>
      </c>
      <c r="B154" s="32" t="s">
        <v>17</v>
      </c>
      <c r="C154" s="11" t="s">
        <v>833</v>
      </c>
      <c r="D154" s="32" t="s">
        <v>483</v>
      </c>
      <c r="E154" s="67" t="s">
        <v>429</v>
      </c>
      <c r="F154" s="14" t="s">
        <v>484</v>
      </c>
      <c r="G154" s="14"/>
      <c r="H154" s="32" t="s">
        <v>439</v>
      </c>
      <c r="I154" s="33" t="s">
        <v>109</v>
      </c>
      <c r="J154" s="16">
        <v>3.1</v>
      </c>
      <c r="K154" s="16">
        <f>+J154*P154</f>
        <v>81964</v>
      </c>
      <c r="L154" s="12" t="s">
        <v>485</v>
      </c>
      <c r="M154" s="50" t="s">
        <v>110</v>
      </c>
      <c r="N154" s="35" t="s">
        <v>111</v>
      </c>
      <c r="O154" s="33" t="s">
        <v>486</v>
      </c>
      <c r="P154" s="17">
        <v>26440</v>
      </c>
      <c r="Q154" s="37">
        <v>5.3</v>
      </c>
      <c r="R154" s="19">
        <f t="shared" si="6"/>
        <v>140132</v>
      </c>
      <c r="S154" s="1">
        <v>2158</v>
      </c>
      <c r="T154" s="1" t="s">
        <v>817</v>
      </c>
      <c r="U154" s="1" t="s">
        <v>818</v>
      </c>
      <c r="V154" s="5">
        <v>51029.2</v>
      </c>
      <c r="W154" s="5">
        <v>8164.6719999999996</v>
      </c>
      <c r="X154" s="5">
        <v>2041.1679999999999</v>
      </c>
      <c r="Y154" s="5">
        <v>57152.703999999998</v>
      </c>
    </row>
    <row r="155" spans="1:25" ht="15" customHeight="1" x14ac:dyDescent="0.25">
      <c r="A155" s="20" t="s">
        <v>21</v>
      </c>
      <c r="B155" s="32" t="s">
        <v>17</v>
      </c>
      <c r="C155" s="11" t="s">
        <v>833</v>
      </c>
      <c r="D155" s="32" t="s">
        <v>519</v>
      </c>
      <c r="E155" s="67" t="s">
        <v>429</v>
      </c>
      <c r="F155" s="14" t="s">
        <v>520</v>
      </c>
      <c r="G155" s="14"/>
      <c r="H155" s="32" t="s">
        <v>495</v>
      </c>
      <c r="I155" s="33" t="s">
        <v>109</v>
      </c>
      <c r="J155" s="16">
        <v>3.1</v>
      </c>
      <c r="K155" s="16">
        <f>+J155*P155</f>
        <v>81871</v>
      </c>
      <c r="L155" s="12" t="s">
        <v>521</v>
      </c>
      <c r="M155" s="50" t="s">
        <v>110</v>
      </c>
      <c r="N155" s="35" t="s">
        <v>111</v>
      </c>
      <c r="O155" s="33" t="s">
        <v>522</v>
      </c>
      <c r="P155" s="17">
        <v>26410</v>
      </c>
      <c r="Q155" s="37">
        <v>5.3</v>
      </c>
      <c r="R155" s="19">
        <f t="shared" si="6"/>
        <v>139973</v>
      </c>
      <c r="S155" s="1">
        <v>1017</v>
      </c>
      <c r="T155" s="1" t="s">
        <v>805</v>
      </c>
      <c r="U155" s="1" t="s">
        <v>806</v>
      </c>
      <c r="V155" s="5">
        <v>50971.299999999996</v>
      </c>
      <c r="W155" s="5">
        <v>8155.4079999999994</v>
      </c>
      <c r="X155" s="5">
        <v>2038.8519999999999</v>
      </c>
      <c r="Y155" s="5">
        <v>57087.856</v>
      </c>
    </row>
    <row r="156" spans="1:25" ht="15" customHeight="1" x14ac:dyDescent="0.25">
      <c r="A156" s="20" t="s">
        <v>21</v>
      </c>
      <c r="B156" s="32" t="s">
        <v>17</v>
      </c>
      <c r="C156" s="11" t="s">
        <v>834</v>
      </c>
      <c r="D156" s="32" t="s">
        <v>537</v>
      </c>
      <c r="E156" s="67" t="s">
        <v>429</v>
      </c>
      <c r="F156" s="34" t="s">
        <v>538</v>
      </c>
      <c r="G156" s="34"/>
      <c r="H156" s="32" t="s">
        <v>530</v>
      </c>
      <c r="I156" s="32" t="s">
        <v>30</v>
      </c>
      <c r="J156" s="16">
        <v>3.5</v>
      </c>
      <c r="K156" s="16">
        <f>+J156*P156</f>
        <v>77140</v>
      </c>
      <c r="L156" s="12"/>
      <c r="M156" s="50" t="s">
        <v>73</v>
      </c>
      <c r="N156" s="35" t="s">
        <v>74</v>
      </c>
      <c r="O156" s="33" t="s">
        <v>539</v>
      </c>
      <c r="P156" s="17">
        <v>22040</v>
      </c>
      <c r="Q156" s="37">
        <v>4.5</v>
      </c>
      <c r="R156" s="19">
        <v>99180</v>
      </c>
      <c r="S156" s="55" t="s">
        <v>129</v>
      </c>
    </row>
    <row r="157" spans="1:25" ht="15" customHeight="1" x14ac:dyDescent="0.25">
      <c r="A157" s="20" t="s">
        <v>21</v>
      </c>
      <c r="B157" s="32" t="s">
        <v>17</v>
      </c>
      <c r="C157" s="11" t="s">
        <v>835</v>
      </c>
      <c r="D157" s="32">
        <v>148620</v>
      </c>
      <c r="E157" s="67" t="s">
        <v>429</v>
      </c>
      <c r="F157" s="14" t="s">
        <v>487</v>
      </c>
      <c r="G157" s="14"/>
      <c r="H157" s="32" t="s">
        <v>439</v>
      </c>
      <c r="I157" s="33" t="s">
        <v>139</v>
      </c>
      <c r="J157" s="16">
        <v>3.5</v>
      </c>
      <c r="K157" s="16">
        <f>+J157*P157</f>
        <v>40386.5</v>
      </c>
      <c r="L157" s="12" t="s">
        <v>488</v>
      </c>
      <c r="M157" s="50" t="s">
        <v>141</v>
      </c>
      <c r="N157" s="35" t="s">
        <v>142</v>
      </c>
      <c r="O157" s="33" t="s">
        <v>489</v>
      </c>
      <c r="P157" s="17">
        <v>11539</v>
      </c>
      <c r="Q157" s="37">
        <v>3.88</v>
      </c>
      <c r="R157" s="19">
        <f t="shared" ref="R157:R162" si="7">+P157*Q157</f>
        <v>44771.32</v>
      </c>
      <c r="S157" s="55" t="s">
        <v>129</v>
      </c>
    </row>
    <row r="158" spans="1:25" ht="15" customHeight="1" x14ac:dyDescent="0.25">
      <c r="A158" s="20" t="s">
        <v>21</v>
      </c>
      <c r="B158" s="32" t="s">
        <v>17</v>
      </c>
      <c r="C158" s="11" t="s">
        <v>835</v>
      </c>
      <c r="D158" s="32">
        <v>148622</v>
      </c>
      <c r="E158" s="67" t="s">
        <v>429</v>
      </c>
      <c r="F158" s="14" t="s">
        <v>490</v>
      </c>
      <c r="G158" s="14"/>
      <c r="H158" s="32" t="s">
        <v>439</v>
      </c>
      <c r="I158" s="33" t="s">
        <v>139</v>
      </c>
      <c r="J158" s="16">
        <v>3.5</v>
      </c>
      <c r="K158" s="16">
        <f>+J158*P158</f>
        <v>46210.5</v>
      </c>
      <c r="L158" s="12" t="s">
        <v>491</v>
      </c>
      <c r="M158" s="50" t="s">
        <v>141</v>
      </c>
      <c r="N158" s="35" t="s">
        <v>142</v>
      </c>
      <c r="O158" s="33" t="s">
        <v>492</v>
      </c>
      <c r="P158" s="17">
        <v>13203</v>
      </c>
      <c r="Q158" s="37">
        <v>3.88</v>
      </c>
      <c r="R158" s="19">
        <f t="shared" si="7"/>
        <v>51227.64</v>
      </c>
      <c r="S158" s="55" t="s">
        <v>129</v>
      </c>
    </row>
    <row r="159" spans="1:25" ht="15" customHeight="1" x14ac:dyDescent="0.25">
      <c r="A159" s="20" t="s">
        <v>21</v>
      </c>
      <c r="B159" s="32" t="s">
        <v>17</v>
      </c>
      <c r="C159" s="11" t="s">
        <v>836</v>
      </c>
      <c r="D159" s="32" t="s">
        <v>493</v>
      </c>
      <c r="E159" s="67" t="s">
        <v>429</v>
      </c>
      <c r="F159" s="14" t="s">
        <v>494</v>
      </c>
      <c r="G159" s="14"/>
      <c r="H159" s="32" t="s">
        <v>495</v>
      </c>
      <c r="I159" s="33" t="s">
        <v>30</v>
      </c>
      <c r="J159" s="16">
        <v>3.5</v>
      </c>
      <c r="K159" s="16">
        <f>+J159*P159</f>
        <v>88830</v>
      </c>
      <c r="L159" s="12" t="s">
        <v>496</v>
      </c>
      <c r="M159" s="50" t="s">
        <v>32</v>
      </c>
      <c r="N159" s="35" t="s">
        <v>33</v>
      </c>
      <c r="O159" s="33" t="s">
        <v>497</v>
      </c>
      <c r="P159" s="17">
        <v>25380</v>
      </c>
      <c r="Q159" s="37">
        <v>5.39</v>
      </c>
      <c r="R159" s="19">
        <f t="shared" si="7"/>
        <v>136798.19999999998</v>
      </c>
      <c r="S159" s="1">
        <v>2268</v>
      </c>
      <c r="T159" s="1" t="s">
        <v>819</v>
      </c>
      <c r="U159" s="1" t="s">
        <v>820</v>
      </c>
      <c r="V159" s="5">
        <v>16750.8</v>
      </c>
      <c r="W159" s="5">
        <v>2680.1280000000002</v>
      </c>
      <c r="X159" s="5">
        <v>670.03200000000004</v>
      </c>
      <c r="Y159" s="5">
        <v>18760.896000000001</v>
      </c>
    </row>
    <row r="160" spans="1:25" ht="15" customHeight="1" x14ac:dyDescent="0.25">
      <c r="A160" s="20" t="s">
        <v>21</v>
      </c>
      <c r="B160" s="32" t="s">
        <v>17</v>
      </c>
      <c r="C160" s="11" t="s">
        <v>837</v>
      </c>
      <c r="D160" s="32" t="s">
        <v>502</v>
      </c>
      <c r="E160" s="67" t="s">
        <v>429</v>
      </c>
      <c r="F160" s="14" t="s">
        <v>503</v>
      </c>
      <c r="G160" s="14"/>
      <c r="H160" s="32" t="s">
        <v>495</v>
      </c>
      <c r="I160" s="33" t="s">
        <v>30</v>
      </c>
      <c r="J160" s="16">
        <v>3.5</v>
      </c>
      <c r="K160" s="16">
        <f>+J160*P160</f>
        <v>69930</v>
      </c>
      <c r="L160" s="12" t="s">
        <v>504</v>
      </c>
      <c r="M160" s="50" t="s">
        <v>49</v>
      </c>
      <c r="N160" s="35" t="s">
        <v>50</v>
      </c>
      <c r="O160" s="33" t="s">
        <v>505</v>
      </c>
      <c r="P160" s="17">
        <v>19980</v>
      </c>
      <c r="Q160" s="37">
        <v>4.5999999999999996</v>
      </c>
      <c r="R160" s="19">
        <f t="shared" si="7"/>
        <v>91908</v>
      </c>
      <c r="S160" s="55" t="s">
        <v>129</v>
      </c>
    </row>
    <row r="161" spans="1:25" ht="15" customHeight="1" x14ac:dyDescent="0.25">
      <c r="A161" s="20" t="s">
        <v>21</v>
      </c>
      <c r="B161" s="32" t="s">
        <v>17</v>
      </c>
      <c r="C161" s="11" t="s">
        <v>837</v>
      </c>
      <c r="D161" s="32" t="s">
        <v>506</v>
      </c>
      <c r="E161" s="67" t="s">
        <v>429</v>
      </c>
      <c r="F161" s="14" t="s">
        <v>507</v>
      </c>
      <c r="G161" s="14"/>
      <c r="H161" s="32" t="s">
        <v>495</v>
      </c>
      <c r="I161" s="33" t="s">
        <v>30</v>
      </c>
      <c r="J161" s="16">
        <v>3.5</v>
      </c>
      <c r="K161" s="16">
        <f>+J161*P161</f>
        <v>72240</v>
      </c>
      <c r="L161" s="12" t="s">
        <v>508</v>
      </c>
      <c r="M161" s="50" t="s">
        <v>49</v>
      </c>
      <c r="N161" s="35" t="s">
        <v>50</v>
      </c>
      <c r="O161" s="33" t="s">
        <v>509</v>
      </c>
      <c r="P161" s="17">
        <v>20640</v>
      </c>
      <c r="Q161" s="37">
        <v>4.5999999999999996</v>
      </c>
      <c r="R161" s="19">
        <f t="shared" si="7"/>
        <v>94943.999999999985</v>
      </c>
      <c r="S161" s="55" t="s">
        <v>129</v>
      </c>
    </row>
    <row r="162" spans="1:25" ht="15" customHeight="1" x14ac:dyDescent="0.25">
      <c r="A162" s="20" t="s">
        <v>21</v>
      </c>
      <c r="B162" s="32" t="s">
        <v>17</v>
      </c>
      <c r="C162" s="11" t="s">
        <v>838</v>
      </c>
      <c r="D162" s="32" t="s">
        <v>510</v>
      </c>
      <c r="E162" s="67" t="s">
        <v>429</v>
      </c>
      <c r="F162" s="14" t="s">
        <v>511</v>
      </c>
      <c r="G162" s="14"/>
      <c r="H162" s="32" t="s">
        <v>495</v>
      </c>
      <c r="I162" s="33" t="s">
        <v>30</v>
      </c>
      <c r="J162" s="16">
        <v>3.5</v>
      </c>
      <c r="K162" s="16">
        <f>+J162*P162</f>
        <v>62370</v>
      </c>
      <c r="L162" s="12" t="s">
        <v>512</v>
      </c>
      <c r="M162" s="50" t="s">
        <v>335</v>
      </c>
      <c r="N162" s="35" t="s">
        <v>82</v>
      </c>
      <c r="O162" s="33" t="s">
        <v>513</v>
      </c>
      <c r="P162" s="17">
        <v>17820</v>
      </c>
      <c r="Q162" s="37">
        <v>5.37</v>
      </c>
      <c r="R162" s="19">
        <f t="shared" si="7"/>
        <v>95693.400000000009</v>
      </c>
      <c r="S162" s="1">
        <v>8752</v>
      </c>
      <c r="T162" s="1" t="s">
        <v>823</v>
      </c>
      <c r="U162" s="1" t="s">
        <v>824</v>
      </c>
      <c r="V162" s="5">
        <v>7505</v>
      </c>
      <c r="W162" s="5">
        <v>1200.8</v>
      </c>
      <c r="X162" s="5">
        <v>300.2</v>
      </c>
      <c r="Y162" s="5">
        <v>8405.5999999999985</v>
      </c>
    </row>
    <row r="163" spans="1:25" ht="15" customHeight="1" x14ac:dyDescent="0.25">
      <c r="A163" s="20" t="s">
        <v>21</v>
      </c>
      <c r="B163" s="32" t="s">
        <v>17</v>
      </c>
      <c r="C163" s="11" t="s">
        <v>838</v>
      </c>
      <c r="D163" s="32" t="s">
        <v>555</v>
      </c>
      <c r="E163" s="67" t="s">
        <v>429</v>
      </c>
      <c r="F163" s="34" t="s">
        <v>556</v>
      </c>
      <c r="G163" s="34"/>
      <c r="H163" s="32" t="s">
        <v>530</v>
      </c>
      <c r="I163" s="32" t="s">
        <v>127</v>
      </c>
      <c r="J163" s="16">
        <v>3.5</v>
      </c>
      <c r="K163" s="16">
        <f>+J163*P163</f>
        <v>75145</v>
      </c>
      <c r="L163" s="12" t="s">
        <v>557</v>
      </c>
      <c r="M163" s="50" t="s">
        <v>558</v>
      </c>
      <c r="N163" s="35" t="s">
        <v>283</v>
      </c>
      <c r="O163" s="33" t="s">
        <v>559</v>
      </c>
      <c r="P163" s="17">
        <v>21470</v>
      </c>
      <c r="Q163" s="37">
        <v>3.7</v>
      </c>
      <c r="R163" s="19">
        <v>79439</v>
      </c>
      <c r="S163" s="1" t="s">
        <v>129</v>
      </c>
    </row>
    <row r="164" spans="1:25" ht="15" customHeight="1" x14ac:dyDescent="0.25">
      <c r="A164" s="20" t="s">
        <v>21</v>
      </c>
      <c r="B164" s="32" t="s">
        <v>17</v>
      </c>
      <c r="C164" s="11" t="s">
        <v>838</v>
      </c>
      <c r="D164" s="32" t="s">
        <v>589</v>
      </c>
      <c r="E164" s="67" t="s">
        <v>429</v>
      </c>
      <c r="F164" s="34" t="s">
        <v>590</v>
      </c>
      <c r="G164" s="34"/>
      <c r="H164" s="32" t="s">
        <v>568</v>
      </c>
      <c r="I164" s="32" t="s">
        <v>127</v>
      </c>
      <c r="J164" s="16">
        <v>3.5</v>
      </c>
      <c r="K164" s="16">
        <f>+J164*P164</f>
        <v>76930</v>
      </c>
      <c r="L164" s="12" t="s">
        <v>591</v>
      </c>
      <c r="M164" s="50" t="s">
        <v>558</v>
      </c>
      <c r="N164" s="35" t="s">
        <v>283</v>
      </c>
      <c r="O164" s="33" t="s">
        <v>592</v>
      </c>
      <c r="P164" s="17">
        <v>21980</v>
      </c>
      <c r="Q164" s="37">
        <v>3.7</v>
      </c>
      <c r="R164" s="19">
        <v>81326</v>
      </c>
      <c r="S164" s="1" t="s">
        <v>129</v>
      </c>
    </row>
    <row r="165" spans="1:25" ht="15" customHeight="1" x14ac:dyDescent="0.25">
      <c r="A165" s="20" t="s">
        <v>21</v>
      </c>
      <c r="B165" s="32" t="s">
        <v>17</v>
      </c>
      <c r="C165" s="11" t="s">
        <v>833</v>
      </c>
      <c r="D165" s="32" t="s">
        <v>523</v>
      </c>
      <c r="E165" s="67" t="s">
        <v>439</v>
      </c>
      <c r="F165" s="14" t="s">
        <v>524</v>
      </c>
      <c r="G165" s="14"/>
      <c r="H165" s="32" t="s">
        <v>495</v>
      </c>
      <c r="I165" s="33" t="s">
        <v>109</v>
      </c>
      <c r="J165" s="16">
        <v>3.1</v>
      </c>
      <c r="K165" s="16">
        <f>+J165*P165</f>
        <v>85250</v>
      </c>
      <c r="L165" s="12" t="s">
        <v>525</v>
      </c>
      <c r="M165" s="50" t="s">
        <v>110</v>
      </c>
      <c r="N165" s="35" t="s">
        <v>111</v>
      </c>
      <c r="O165" s="33" t="s">
        <v>526</v>
      </c>
      <c r="P165" s="17">
        <v>27500</v>
      </c>
      <c r="Q165" s="37">
        <v>5.3</v>
      </c>
      <c r="R165" s="19">
        <f>+P165*Q165</f>
        <v>145750</v>
      </c>
      <c r="S165" s="1">
        <v>20127</v>
      </c>
      <c r="T165" s="1" t="s">
        <v>807</v>
      </c>
      <c r="U165" s="1" t="s">
        <v>808</v>
      </c>
      <c r="V165" s="5">
        <v>53075</v>
      </c>
      <c r="W165" s="5">
        <v>8492</v>
      </c>
      <c r="X165" s="5">
        <v>2123</v>
      </c>
      <c r="Y165" s="5">
        <v>59444</v>
      </c>
    </row>
    <row r="166" spans="1:25" ht="15" customHeight="1" x14ac:dyDescent="0.25">
      <c r="A166" s="20" t="s">
        <v>21</v>
      </c>
      <c r="B166" s="32" t="s">
        <v>17</v>
      </c>
      <c r="C166" s="11" t="s">
        <v>834</v>
      </c>
      <c r="D166" s="32" t="s">
        <v>540</v>
      </c>
      <c r="E166" s="67" t="s">
        <v>439</v>
      </c>
      <c r="F166" s="34" t="s">
        <v>541</v>
      </c>
      <c r="G166" s="34"/>
      <c r="H166" s="32" t="s">
        <v>530</v>
      </c>
      <c r="I166" s="32" t="s">
        <v>30</v>
      </c>
      <c r="J166" s="16">
        <v>3.5</v>
      </c>
      <c r="K166" s="16">
        <f>+J166*P166</f>
        <v>88935</v>
      </c>
      <c r="L166" s="12"/>
      <c r="M166" s="50" t="s">
        <v>73</v>
      </c>
      <c r="N166" s="35" t="s">
        <v>74</v>
      </c>
      <c r="O166" s="33" t="s">
        <v>542</v>
      </c>
      <c r="P166" s="17">
        <v>25410</v>
      </c>
      <c r="Q166" s="37">
        <v>4.5</v>
      </c>
      <c r="R166" s="19">
        <v>114345</v>
      </c>
      <c r="S166" s="55" t="s">
        <v>129</v>
      </c>
    </row>
    <row r="167" spans="1:25" ht="15" customHeight="1" x14ac:dyDescent="0.25">
      <c r="A167" s="20" t="s">
        <v>21</v>
      </c>
      <c r="B167" s="32" t="s">
        <v>17</v>
      </c>
      <c r="C167" s="11" t="s">
        <v>836</v>
      </c>
      <c r="D167" s="32" t="s">
        <v>498</v>
      </c>
      <c r="E167" s="67" t="s">
        <v>439</v>
      </c>
      <c r="F167" s="14" t="s">
        <v>499</v>
      </c>
      <c r="G167" s="14"/>
      <c r="H167" s="32" t="s">
        <v>495</v>
      </c>
      <c r="I167" s="33" t="s">
        <v>30</v>
      </c>
      <c r="J167" s="16">
        <v>3.5</v>
      </c>
      <c r="K167" s="16">
        <f>+J167*P167</f>
        <v>81130</v>
      </c>
      <c r="L167" s="12" t="s">
        <v>500</v>
      </c>
      <c r="M167" s="50" t="s">
        <v>32</v>
      </c>
      <c r="N167" s="35" t="s">
        <v>33</v>
      </c>
      <c r="O167" s="33" t="s">
        <v>501</v>
      </c>
      <c r="P167" s="17">
        <v>23180</v>
      </c>
      <c r="Q167" s="37">
        <v>5.39</v>
      </c>
      <c r="R167" s="19">
        <f>+P167*Q167</f>
        <v>124940.2</v>
      </c>
      <c r="S167" s="1">
        <v>3486</v>
      </c>
      <c r="T167" s="54" t="s">
        <v>821</v>
      </c>
      <c r="U167" s="54" t="s">
        <v>822</v>
      </c>
      <c r="V167" s="57">
        <v>15298.800000000001</v>
      </c>
      <c r="W167" s="57">
        <v>2447.8080000000004</v>
      </c>
      <c r="X167" s="57">
        <v>611.95200000000011</v>
      </c>
      <c r="Y167" s="57">
        <v>17134.655999999999</v>
      </c>
    </row>
    <row r="168" spans="1:25" ht="15" customHeight="1" x14ac:dyDescent="0.25">
      <c r="A168" s="20" t="s">
        <v>21</v>
      </c>
      <c r="B168" s="32" t="s">
        <v>17</v>
      </c>
      <c r="C168" s="11" t="s">
        <v>836</v>
      </c>
      <c r="D168" s="32" t="s">
        <v>609</v>
      </c>
      <c r="E168" s="67" t="s">
        <v>439</v>
      </c>
      <c r="F168" s="34" t="s">
        <v>610</v>
      </c>
      <c r="G168" s="34"/>
      <c r="H168" s="32" t="s">
        <v>602</v>
      </c>
      <c r="I168" s="33" t="s">
        <v>30</v>
      </c>
      <c r="J168" s="16">
        <v>3.5</v>
      </c>
      <c r="K168" s="16">
        <f>+J168*P168</f>
        <v>79485</v>
      </c>
      <c r="L168" s="12" t="s">
        <v>611</v>
      </c>
      <c r="M168" s="50" t="s">
        <v>32</v>
      </c>
      <c r="N168" s="35" t="s">
        <v>33</v>
      </c>
      <c r="O168" s="33" t="s">
        <v>612</v>
      </c>
      <c r="P168" s="38">
        <v>22710</v>
      </c>
      <c r="Q168" s="37">
        <v>5.39</v>
      </c>
      <c r="R168" s="19">
        <v>122406.9</v>
      </c>
      <c r="S168" s="1">
        <v>3487</v>
      </c>
      <c r="T168" s="54" t="s">
        <v>821</v>
      </c>
      <c r="U168" s="54" t="s">
        <v>822</v>
      </c>
      <c r="V168" s="57">
        <v>14988.6</v>
      </c>
      <c r="W168" s="57">
        <v>2398.1759999999999</v>
      </c>
      <c r="X168" s="57">
        <v>599.54399999999998</v>
      </c>
      <c r="Y168" s="57">
        <v>16787.232</v>
      </c>
    </row>
    <row r="169" spans="1:25" ht="15" customHeight="1" x14ac:dyDescent="0.25">
      <c r="A169" s="20" t="s">
        <v>21</v>
      </c>
      <c r="B169" s="32" t="s">
        <v>17</v>
      </c>
      <c r="C169" s="11" t="s">
        <v>837</v>
      </c>
      <c r="D169" s="32" t="s">
        <v>533</v>
      </c>
      <c r="E169" s="67" t="s">
        <v>439</v>
      </c>
      <c r="F169" s="34" t="s">
        <v>534</v>
      </c>
      <c r="G169" s="34"/>
      <c r="H169" s="32" t="s">
        <v>530</v>
      </c>
      <c r="I169" s="33" t="s">
        <v>30</v>
      </c>
      <c r="J169" s="16">
        <v>3.5</v>
      </c>
      <c r="K169" s="16">
        <f>+J169*P169</f>
        <v>66080</v>
      </c>
      <c r="L169" s="12" t="s">
        <v>535</v>
      </c>
      <c r="M169" s="50" t="s">
        <v>49</v>
      </c>
      <c r="N169" s="35" t="s">
        <v>50</v>
      </c>
      <c r="O169" s="33" t="s">
        <v>536</v>
      </c>
      <c r="P169" s="17">
        <v>18880</v>
      </c>
      <c r="Q169" s="37">
        <v>4.5999999999999996</v>
      </c>
      <c r="R169" s="19">
        <v>86848</v>
      </c>
      <c r="S169" s="55" t="s">
        <v>129</v>
      </c>
    </row>
    <row r="170" spans="1:25" ht="15" customHeight="1" x14ac:dyDescent="0.25">
      <c r="A170" s="20" t="s">
        <v>21</v>
      </c>
      <c r="B170" s="32" t="s">
        <v>17</v>
      </c>
      <c r="C170" s="11" t="s">
        <v>838</v>
      </c>
      <c r="D170" s="32" t="s">
        <v>560</v>
      </c>
      <c r="E170" s="67" t="s">
        <v>439</v>
      </c>
      <c r="F170" s="34" t="s">
        <v>561</v>
      </c>
      <c r="G170" s="34"/>
      <c r="H170" s="32" t="s">
        <v>530</v>
      </c>
      <c r="I170" s="32" t="s">
        <v>127</v>
      </c>
      <c r="J170" s="16">
        <v>3.5</v>
      </c>
      <c r="K170" s="16">
        <f>+J170*P170</f>
        <v>77385</v>
      </c>
      <c r="L170" s="12" t="s">
        <v>562</v>
      </c>
      <c r="M170" s="50" t="s">
        <v>558</v>
      </c>
      <c r="N170" s="35" t="s">
        <v>283</v>
      </c>
      <c r="O170" s="33" t="s">
        <v>563</v>
      </c>
      <c r="P170" s="17">
        <v>22110</v>
      </c>
      <c r="Q170" s="37">
        <v>3.7</v>
      </c>
      <c r="R170" s="19">
        <v>81807</v>
      </c>
      <c r="S170" s="1" t="s">
        <v>129</v>
      </c>
    </row>
    <row r="171" spans="1:25" ht="15" customHeight="1" x14ac:dyDescent="0.25">
      <c r="A171" s="20" t="s">
        <v>21</v>
      </c>
      <c r="B171" s="32" t="s">
        <v>17</v>
      </c>
      <c r="C171" s="11" t="s">
        <v>838</v>
      </c>
      <c r="D171" s="32" t="s">
        <v>572</v>
      </c>
      <c r="E171" s="67" t="s">
        <v>439</v>
      </c>
      <c r="F171" s="34" t="s">
        <v>573</v>
      </c>
      <c r="G171" s="34"/>
      <c r="H171" s="32" t="s">
        <v>568</v>
      </c>
      <c r="I171" s="33" t="s">
        <v>30</v>
      </c>
      <c r="J171" s="16">
        <v>3.5</v>
      </c>
      <c r="K171" s="16">
        <f>+J171*P171</f>
        <v>62195</v>
      </c>
      <c r="L171" s="12" t="s">
        <v>574</v>
      </c>
      <c r="M171" s="50" t="s">
        <v>335</v>
      </c>
      <c r="N171" s="35" t="s">
        <v>82</v>
      </c>
      <c r="O171" s="33" t="s">
        <v>575</v>
      </c>
      <c r="P171" s="17">
        <v>17770</v>
      </c>
      <c r="Q171" s="37">
        <v>5.37</v>
      </c>
      <c r="R171" s="19">
        <v>95424.9</v>
      </c>
      <c r="S171" s="1">
        <v>8756</v>
      </c>
      <c r="T171" s="1" t="s">
        <v>823</v>
      </c>
      <c r="U171" s="1" t="s">
        <v>824</v>
      </c>
      <c r="V171" s="5">
        <v>7505</v>
      </c>
      <c r="W171" s="5">
        <v>1200.8</v>
      </c>
      <c r="X171" s="5">
        <v>300.2</v>
      </c>
      <c r="Y171" s="5">
        <v>8405.5999999999985</v>
      </c>
    </row>
    <row r="172" spans="1:25" ht="15" customHeight="1" x14ac:dyDescent="0.25">
      <c r="A172" s="20" t="s">
        <v>21</v>
      </c>
      <c r="B172" s="32" t="s">
        <v>17</v>
      </c>
      <c r="C172" s="11" t="s">
        <v>833</v>
      </c>
      <c r="D172" s="32" t="s">
        <v>671</v>
      </c>
      <c r="E172" s="67" t="s">
        <v>495</v>
      </c>
      <c r="F172" s="34" t="s">
        <v>672</v>
      </c>
      <c r="G172" s="34"/>
      <c r="H172" s="32" t="s">
        <v>626</v>
      </c>
      <c r="I172" s="32" t="s">
        <v>109</v>
      </c>
      <c r="J172" s="16">
        <v>3.1</v>
      </c>
      <c r="K172" s="16">
        <f>+J172*P172</f>
        <v>78740</v>
      </c>
      <c r="L172" s="12" t="s">
        <v>673</v>
      </c>
      <c r="M172" s="50" t="s">
        <v>110</v>
      </c>
      <c r="N172" s="35" t="s">
        <v>111</v>
      </c>
      <c r="O172" s="33" t="s">
        <v>674</v>
      </c>
      <c r="P172" s="38">
        <v>25400</v>
      </c>
      <c r="Q172" s="37">
        <v>5.3</v>
      </c>
      <c r="R172" s="19">
        <v>134620</v>
      </c>
      <c r="S172" s="1">
        <v>22118</v>
      </c>
      <c r="T172" s="1" t="s">
        <v>811</v>
      </c>
      <c r="U172" s="1" t="s">
        <v>812</v>
      </c>
      <c r="V172" s="5">
        <v>49022</v>
      </c>
      <c r="W172" s="5">
        <v>7843.52</v>
      </c>
      <c r="X172" s="5">
        <v>1960.88</v>
      </c>
      <c r="Y172" s="5">
        <v>54904.640000000007</v>
      </c>
    </row>
    <row r="173" spans="1:25" ht="15" customHeight="1" x14ac:dyDescent="0.25">
      <c r="A173" s="20" t="s">
        <v>21</v>
      </c>
      <c r="B173" s="11" t="s">
        <v>17</v>
      </c>
      <c r="C173" s="11" t="s">
        <v>833</v>
      </c>
      <c r="D173" s="11" t="s">
        <v>755</v>
      </c>
      <c r="E173" s="68" t="s">
        <v>495</v>
      </c>
      <c r="F173" s="43" t="s">
        <v>787</v>
      </c>
      <c r="G173" s="43"/>
      <c r="H173" s="11" t="s">
        <v>735</v>
      </c>
      <c r="I173" s="11" t="s">
        <v>109</v>
      </c>
      <c r="J173" s="16">
        <v>3.1</v>
      </c>
      <c r="K173" s="16">
        <f>+J173*P173</f>
        <v>75330</v>
      </c>
      <c r="L173" s="11"/>
      <c r="M173" s="51" t="s">
        <v>110</v>
      </c>
      <c r="N173" s="45" t="s">
        <v>111</v>
      </c>
      <c r="O173" s="44" t="s">
        <v>756</v>
      </c>
      <c r="P173" s="38">
        <v>24300</v>
      </c>
      <c r="Q173" s="42">
        <v>5.3</v>
      </c>
      <c r="R173" s="19">
        <v>128790</v>
      </c>
      <c r="S173" s="1">
        <v>20180</v>
      </c>
      <c r="T173" s="1" t="s">
        <v>807</v>
      </c>
      <c r="U173" s="1" t="s">
        <v>808</v>
      </c>
      <c r="V173" s="5">
        <v>46899</v>
      </c>
      <c r="W173" s="5">
        <v>7503.84</v>
      </c>
      <c r="X173" s="5">
        <v>1875.96</v>
      </c>
      <c r="Y173" s="5">
        <v>52526.879999999997</v>
      </c>
    </row>
    <row r="174" spans="1:25" ht="15" customHeight="1" x14ac:dyDescent="0.25">
      <c r="A174" s="20" t="s">
        <v>21</v>
      </c>
      <c r="B174" s="32" t="s">
        <v>17</v>
      </c>
      <c r="C174" s="11" t="s">
        <v>834</v>
      </c>
      <c r="D174" s="32" t="s">
        <v>543</v>
      </c>
      <c r="E174" s="67" t="s">
        <v>495</v>
      </c>
      <c r="F174" s="34" t="s">
        <v>544</v>
      </c>
      <c r="G174" s="34"/>
      <c r="H174" s="32" t="s">
        <v>530</v>
      </c>
      <c r="I174" s="32" t="s">
        <v>30</v>
      </c>
      <c r="J174" s="16">
        <v>3.5</v>
      </c>
      <c r="K174" s="16">
        <f>+J174*P174</f>
        <v>87955</v>
      </c>
      <c r="L174" s="12"/>
      <c r="M174" s="50" t="s">
        <v>73</v>
      </c>
      <c r="N174" s="35" t="s">
        <v>74</v>
      </c>
      <c r="O174" s="33" t="s">
        <v>545</v>
      </c>
      <c r="P174" s="17">
        <v>25130</v>
      </c>
      <c r="Q174" s="37">
        <v>4.5</v>
      </c>
      <c r="R174" s="19">
        <v>113085</v>
      </c>
      <c r="S174" s="55" t="s">
        <v>129</v>
      </c>
    </row>
    <row r="175" spans="1:25" ht="15" customHeight="1" x14ac:dyDescent="0.25">
      <c r="A175" s="20" t="s">
        <v>21</v>
      </c>
      <c r="B175" s="32" t="s">
        <v>17</v>
      </c>
      <c r="C175" s="11" t="s">
        <v>836</v>
      </c>
      <c r="D175" s="32" t="s">
        <v>613</v>
      </c>
      <c r="E175" s="67" t="s">
        <v>495</v>
      </c>
      <c r="F175" s="34" t="s">
        <v>614</v>
      </c>
      <c r="G175" s="34"/>
      <c r="H175" s="32" t="s">
        <v>602</v>
      </c>
      <c r="I175" s="33" t="s">
        <v>30</v>
      </c>
      <c r="J175" s="16">
        <v>3.5</v>
      </c>
      <c r="K175" s="16">
        <f>+J175*P175</f>
        <v>89390</v>
      </c>
      <c r="L175" s="12"/>
      <c r="M175" s="50" t="s">
        <v>32</v>
      </c>
      <c r="N175" s="35" t="s">
        <v>33</v>
      </c>
      <c r="O175" s="33" t="s">
        <v>615</v>
      </c>
      <c r="P175" s="38">
        <v>25540</v>
      </c>
      <c r="Q175" s="37">
        <v>5.39</v>
      </c>
      <c r="R175" s="19">
        <v>137660.6</v>
      </c>
      <c r="S175" s="1">
        <v>3510</v>
      </c>
      <c r="T175" s="1" t="s">
        <v>821</v>
      </c>
      <c r="U175" s="1" t="s">
        <v>822</v>
      </c>
      <c r="V175" s="5">
        <v>16856.400000000001</v>
      </c>
      <c r="W175" s="5">
        <v>2697.0240000000003</v>
      </c>
      <c r="X175" s="5">
        <v>674.25600000000009</v>
      </c>
      <c r="Y175" s="5">
        <v>18879.168000000001</v>
      </c>
    </row>
    <row r="176" spans="1:25" ht="15" customHeight="1" x14ac:dyDescent="0.25">
      <c r="A176" s="20" t="s">
        <v>21</v>
      </c>
      <c r="B176" s="32" t="s">
        <v>17</v>
      </c>
      <c r="C176" s="11" t="s">
        <v>837</v>
      </c>
      <c r="D176" s="32" t="s">
        <v>640</v>
      </c>
      <c r="E176" s="67" t="s">
        <v>495</v>
      </c>
      <c r="F176" s="34" t="s">
        <v>641</v>
      </c>
      <c r="G176" s="34"/>
      <c r="H176" s="32" t="s">
        <v>626</v>
      </c>
      <c r="I176" s="33" t="s">
        <v>30</v>
      </c>
      <c r="J176" s="16">
        <v>3.5</v>
      </c>
      <c r="K176" s="16">
        <f>+J176*P176</f>
        <v>68285</v>
      </c>
      <c r="L176" s="12" t="s">
        <v>642</v>
      </c>
      <c r="M176" s="50" t="s">
        <v>49</v>
      </c>
      <c r="N176" s="35" t="s">
        <v>50</v>
      </c>
      <c r="O176" s="33" t="s">
        <v>643</v>
      </c>
      <c r="P176" s="38">
        <v>19510</v>
      </c>
      <c r="Q176" s="37">
        <v>4.5999999999999996</v>
      </c>
      <c r="R176" s="19">
        <v>89746</v>
      </c>
      <c r="S176" s="55" t="s">
        <v>129</v>
      </c>
    </row>
    <row r="177" spans="1:25" ht="15" customHeight="1" x14ac:dyDescent="0.25">
      <c r="A177" s="20" t="s">
        <v>21</v>
      </c>
      <c r="B177" s="32" t="s">
        <v>17</v>
      </c>
      <c r="C177" s="11" t="s">
        <v>837</v>
      </c>
      <c r="D177" s="32" t="s">
        <v>644</v>
      </c>
      <c r="E177" s="67" t="s">
        <v>495</v>
      </c>
      <c r="F177" s="34" t="s">
        <v>645</v>
      </c>
      <c r="G177" s="34"/>
      <c r="H177" s="32" t="s">
        <v>626</v>
      </c>
      <c r="I177" s="33" t="s">
        <v>30</v>
      </c>
      <c r="J177" s="16">
        <v>3.5</v>
      </c>
      <c r="K177" s="16">
        <f>+J177*P177</f>
        <v>75250</v>
      </c>
      <c r="L177" s="12"/>
      <c r="M177" s="50" t="s">
        <v>49</v>
      </c>
      <c r="N177" s="35" t="s">
        <v>50</v>
      </c>
      <c r="O177" s="33" t="s">
        <v>646</v>
      </c>
      <c r="P177" s="38">
        <v>21500</v>
      </c>
      <c r="Q177" s="37">
        <v>4.5999999999999996</v>
      </c>
      <c r="R177" s="19">
        <v>98900</v>
      </c>
      <c r="S177" s="55" t="s">
        <v>129</v>
      </c>
      <c r="T177" s="62"/>
      <c r="U177" s="62"/>
      <c r="V177" s="63"/>
      <c r="W177" s="63"/>
      <c r="X177" s="63"/>
      <c r="Y177" s="63"/>
    </row>
    <row r="178" spans="1:25" ht="15" customHeight="1" x14ac:dyDescent="0.25">
      <c r="A178" s="20" t="s">
        <v>21</v>
      </c>
      <c r="B178" s="32" t="s">
        <v>17</v>
      </c>
      <c r="C178" s="11" t="s">
        <v>838</v>
      </c>
      <c r="D178" s="32" t="s">
        <v>576</v>
      </c>
      <c r="E178" s="67" t="s">
        <v>495</v>
      </c>
      <c r="F178" s="34" t="s">
        <v>577</v>
      </c>
      <c r="G178" s="34"/>
      <c r="H178" s="32" t="s">
        <v>568</v>
      </c>
      <c r="I178" s="33" t="s">
        <v>30</v>
      </c>
      <c r="J178" s="16">
        <v>3.5</v>
      </c>
      <c r="K178" s="16">
        <f>+J178*P178</f>
        <v>62440</v>
      </c>
      <c r="L178" s="12" t="s">
        <v>578</v>
      </c>
      <c r="M178" s="50" t="s">
        <v>335</v>
      </c>
      <c r="N178" s="35" t="s">
        <v>82</v>
      </c>
      <c r="O178" s="33" t="s">
        <v>579</v>
      </c>
      <c r="P178" s="17">
        <v>17840</v>
      </c>
      <c r="Q178" s="37">
        <v>5.37</v>
      </c>
      <c r="R178" s="19">
        <v>95800.8</v>
      </c>
      <c r="S178" s="1">
        <v>8759</v>
      </c>
      <c r="T178" s="1" t="s">
        <v>823</v>
      </c>
      <c r="U178" s="1" t="s">
        <v>824</v>
      </c>
      <c r="V178" s="5">
        <v>7505</v>
      </c>
      <c r="W178" s="5">
        <v>1200.8</v>
      </c>
      <c r="X178" s="5">
        <v>300.2</v>
      </c>
      <c r="Y178" s="5">
        <v>8405.5999999999985</v>
      </c>
    </row>
    <row r="179" spans="1:25" ht="15" customHeight="1" x14ac:dyDescent="0.25">
      <c r="A179" s="20" t="s">
        <v>21</v>
      </c>
      <c r="B179" s="32" t="s">
        <v>17</v>
      </c>
      <c r="C179" s="11" t="s">
        <v>831</v>
      </c>
      <c r="D179" s="32" t="s">
        <v>527</v>
      </c>
      <c r="E179" s="67" t="s">
        <v>528</v>
      </c>
      <c r="F179" s="34" t="s">
        <v>529</v>
      </c>
      <c r="G179" s="34"/>
      <c r="H179" s="32" t="s">
        <v>530</v>
      </c>
      <c r="I179" s="33" t="s">
        <v>19</v>
      </c>
      <c r="J179" s="16">
        <v>3.5</v>
      </c>
      <c r="K179" s="16">
        <f>+J179*P179</f>
        <v>69499.5</v>
      </c>
      <c r="L179" s="12" t="s">
        <v>531</v>
      </c>
      <c r="M179" s="50" t="s">
        <v>306</v>
      </c>
      <c r="N179" s="35" t="s">
        <v>23</v>
      </c>
      <c r="O179" s="33" t="s">
        <v>532</v>
      </c>
      <c r="P179" s="17">
        <v>19857</v>
      </c>
      <c r="Q179" s="37">
        <v>5.29</v>
      </c>
      <c r="R179" s="19">
        <v>105043.53</v>
      </c>
      <c r="S179" s="1">
        <v>951</v>
      </c>
      <c r="T179" s="1" t="s">
        <v>801</v>
      </c>
      <c r="U179" s="1" t="s">
        <v>802</v>
      </c>
      <c r="V179" s="5">
        <v>15005</v>
      </c>
      <c r="W179" s="5">
        <v>2400.8000000000002</v>
      </c>
      <c r="X179" s="5">
        <v>600.20000000000005</v>
      </c>
      <c r="Y179" s="5">
        <v>16805.599999999999</v>
      </c>
    </row>
    <row r="180" spans="1:25" ht="15" customHeight="1" x14ac:dyDescent="0.25">
      <c r="A180" s="20" t="s">
        <v>21</v>
      </c>
      <c r="B180" s="32" t="s">
        <v>17</v>
      </c>
      <c r="C180" s="11" t="s">
        <v>833</v>
      </c>
      <c r="D180" s="32" t="s">
        <v>723</v>
      </c>
      <c r="E180" s="67" t="s">
        <v>528</v>
      </c>
      <c r="F180" s="34" t="s">
        <v>784</v>
      </c>
      <c r="G180" s="34"/>
      <c r="H180" s="32" t="s">
        <v>691</v>
      </c>
      <c r="I180" s="32" t="s">
        <v>109</v>
      </c>
      <c r="J180" s="16">
        <v>3.1</v>
      </c>
      <c r="K180" s="16">
        <f>+J180*P180</f>
        <v>77686</v>
      </c>
      <c r="L180" s="12" t="s">
        <v>724</v>
      </c>
      <c r="M180" s="50" t="s">
        <v>110</v>
      </c>
      <c r="N180" s="35" t="s">
        <v>111</v>
      </c>
      <c r="O180" s="33" t="s">
        <v>725</v>
      </c>
      <c r="P180" s="38">
        <v>25060</v>
      </c>
      <c r="Q180" s="37">
        <v>5.3</v>
      </c>
      <c r="R180" s="19">
        <v>132818</v>
      </c>
      <c r="S180" s="1">
        <v>22121</v>
      </c>
      <c r="T180" s="1" t="s">
        <v>811</v>
      </c>
      <c r="U180" s="1" t="s">
        <v>812</v>
      </c>
      <c r="V180" s="5">
        <v>48365.799999999996</v>
      </c>
      <c r="W180" s="5">
        <v>7738.5279999999993</v>
      </c>
      <c r="X180" s="5">
        <v>1934.6319999999998</v>
      </c>
      <c r="Y180" s="5">
        <v>54169.695999999996</v>
      </c>
    </row>
    <row r="181" spans="1:25" ht="15" customHeight="1" x14ac:dyDescent="0.25">
      <c r="A181" s="20" t="s">
        <v>21</v>
      </c>
      <c r="B181" s="32" t="s">
        <v>17</v>
      </c>
      <c r="C181" s="11" t="s">
        <v>834</v>
      </c>
      <c r="D181" s="32" t="s">
        <v>546</v>
      </c>
      <c r="E181" s="67" t="s">
        <v>528</v>
      </c>
      <c r="F181" s="34" t="s">
        <v>547</v>
      </c>
      <c r="G181" s="34"/>
      <c r="H181" s="32" t="s">
        <v>530</v>
      </c>
      <c r="I181" s="32" t="s">
        <v>30</v>
      </c>
      <c r="J181" s="16">
        <v>3.5</v>
      </c>
      <c r="K181" s="16">
        <f>+J181*P181</f>
        <v>87080</v>
      </c>
      <c r="L181" s="12"/>
      <c r="M181" s="50" t="s">
        <v>73</v>
      </c>
      <c r="N181" s="35" t="s">
        <v>74</v>
      </c>
      <c r="O181" s="33" t="s">
        <v>548</v>
      </c>
      <c r="P181" s="17">
        <v>24880</v>
      </c>
      <c r="Q181" s="37">
        <v>4.5</v>
      </c>
      <c r="R181" s="19">
        <v>111960</v>
      </c>
      <c r="S181" s="55" t="s">
        <v>129</v>
      </c>
    </row>
    <row r="182" spans="1:25" ht="15" customHeight="1" x14ac:dyDescent="0.25">
      <c r="A182" s="20" t="s">
        <v>21</v>
      </c>
      <c r="B182" s="32" t="s">
        <v>17</v>
      </c>
      <c r="C182" s="11" t="s">
        <v>836</v>
      </c>
      <c r="D182" s="32" t="s">
        <v>616</v>
      </c>
      <c r="E182" s="67" t="s">
        <v>528</v>
      </c>
      <c r="F182" s="34" t="s">
        <v>617</v>
      </c>
      <c r="G182" s="34"/>
      <c r="H182" s="32" t="s">
        <v>602</v>
      </c>
      <c r="I182" s="33" t="s">
        <v>30</v>
      </c>
      <c r="J182" s="16">
        <v>3.5</v>
      </c>
      <c r="K182" s="16">
        <f>+J182*P182</f>
        <v>81270</v>
      </c>
      <c r="L182" s="12"/>
      <c r="M182" s="50" t="s">
        <v>32</v>
      </c>
      <c r="N182" s="35" t="s">
        <v>33</v>
      </c>
      <c r="O182" s="33" t="s">
        <v>618</v>
      </c>
      <c r="P182" s="38">
        <v>23220</v>
      </c>
      <c r="Q182" s="37">
        <v>5.39</v>
      </c>
      <c r="R182" s="19">
        <v>125155.8</v>
      </c>
      <c r="S182" s="1">
        <v>3488</v>
      </c>
      <c r="T182" s="1" t="s">
        <v>821</v>
      </c>
      <c r="U182" s="1" t="s">
        <v>822</v>
      </c>
      <c r="V182" s="5">
        <v>15325.2</v>
      </c>
      <c r="W182" s="5">
        <v>2452.0320000000002</v>
      </c>
      <c r="X182" s="5">
        <v>613.00800000000004</v>
      </c>
      <c r="Y182" s="5">
        <v>17164.223999999998</v>
      </c>
    </row>
    <row r="183" spans="1:25" ht="15" customHeight="1" x14ac:dyDescent="0.25">
      <c r="A183" s="20" t="s">
        <v>21</v>
      </c>
      <c r="B183" s="32" t="s">
        <v>17</v>
      </c>
      <c r="C183" s="11" t="s">
        <v>837</v>
      </c>
      <c r="D183" s="32" t="s">
        <v>690</v>
      </c>
      <c r="E183" s="67" t="s">
        <v>528</v>
      </c>
      <c r="F183" s="34" t="s">
        <v>660</v>
      </c>
      <c r="G183" s="34"/>
      <c r="H183" s="32" t="s">
        <v>691</v>
      </c>
      <c r="I183" s="33" t="s">
        <v>30</v>
      </c>
      <c r="J183" s="16">
        <v>3.5</v>
      </c>
      <c r="K183" s="16">
        <f>+J183*P183</f>
        <v>71750</v>
      </c>
      <c r="L183" s="12"/>
      <c r="M183" s="50" t="s">
        <v>49</v>
      </c>
      <c r="N183" s="35" t="s">
        <v>50</v>
      </c>
      <c r="O183" s="33" t="s">
        <v>692</v>
      </c>
      <c r="P183" s="38">
        <v>20500</v>
      </c>
      <c r="Q183" s="37">
        <v>4.5999999999999996</v>
      </c>
      <c r="R183" s="40">
        <v>94300</v>
      </c>
      <c r="S183" s="55" t="s">
        <v>129</v>
      </c>
    </row>
    <row r="184" spans="1:25" ht="15" customHeight="1" x14ac:dyDescent="0.25">
      <c r="A184" s="20" t="s">
        <v>21</v>
      </c>
      <c r="B184" s="32" t="s">
        <v>17</v>
      </c>
      <c r="C184" s="11" t="s">
        <v>837</v>
      </c>
      <c r="D184" s="32" t="s">
        <v>693</v>
      </c>
      <c r="E184" s="67" t="s">
        <v>528</v>
      </c>
      <c r="F184" s="34" t="s">
        <v>664</v>
      </c>
      <c r="G184" s="34"/>
      <c r="H184" s="32" t="s">
        <v>691</v>
      </c>
      <c r="I184" s="33" t="s">
        <v>30</v>
      </c>
      <c r="J184" s="16">
        <v>3.5</v>
      </c>
      <c r="K184" s="16">
        <f>+J184*P184</f>
        <v>69545</v>
      </c>
      <c r="L184" s="12"/>
      <c r="M184" s="50" t="s">
        <v>49</v>
      </c>
      <c r="N184" s="35" t="s">
        <v>50</v>
      </c>
      <c r="O184" s="33" t="s">
        <v>694</v>
      </c>
      <c r="P184" s="38">
        <v>19870</v>
      </c>
      <c r="Q184" s="37">
        <v>4.5999999999999996</v>
      </c>
      <c r="R184" s="40">
        <v>91402</v>
      </c>
      <c r="S184" s="55" t="s">
        <v>129</v>
      </c>
    </row>
    <row r="185" spans="1:25" ht="15" customHeight="1" x14ac:dyDescent="0.25">
      <c r="A185" s="20" t="s">
        <v>21</v>
      </c>
      <c r="B185" s="32" t="s">
        <v>17</v>
      </c>
      <c r="C185" s="11" t="s">
        <v>837</v>
      </c>
      <c r="D185" s="32" t="s">
        <v>709</v>
      </c>
      <c r="E185" s="67" t="s">
        <v>581</v>
      </c>
      <c r="F185" s="34" t="s">
        <v>777</v>
      </c>
      <c r="G185" s="34"/>
      <c r="H185" s="32" t="s">
        <v>691</v>
      </c>
      <c r="I185" s="32" t="s">
        <v>67</v>
      </c>
      <c r="J185" s="16">
        <v>1</v>
      </c>
      <c r="K185" s="16">
        <f>+J185*P185</f>
        <v>7780</v>
      </c>
      <c r="L185" s="12"/>
      <c r="M185" s="50" t="s">
        <v>49</v>
      </c>
      <c r="N185" s="35" t="s">
        <v>50</v>
      </c>
      <c r="O185" s="33" t="s">
        <v>710</v>
      </c>
      <c r="P185" s="38">
        <v>7780</v>
      </c>
      <c r="Q185" s="37">
        <v>1.2</v>
      </c>
      <c r="R185" s="19">
        <v>9336</v>
      </c>
      <c r="S185" s="55" t="s">
        <v>129</v>
      </c>
    </row>
    <row r="186" spans="1:25" ht="15" customHeight="1" thickBot="1" x14ac:dyDescent="0.3">
      <c r="A186" s="20" t="s">
        <v>21</v>
      </c>
      <c r="B186" s="32" t="s">
        <v>17</v>
      </c>
      <c r="C186" s="11" t="s">
        <v>837</v>
      </c>
      <c r="D186" s="32" t="s">
        <v>711</v>
      </c>
      <c r="E186" s="67" t="s">
        <v>581</v>
      </c>
      <c r="F186" s="34" t="s">
        <v>778</v>
      </c>
      <c r="G186" s="34"/>
      <c r="H186" s="32" t="s">
        <v>691</v>
      </c>
      <c r="I186" s="32" t="s">
        <v>67</v>
      </c>
      <c r="J186" s="16">
        <v>1</v>
      </c>
      <c r="K186" s="16">
        <f>+J186*P186</f>
        <v>7780</v>
      </c>
      <c r="L186" s="12"/>
      <c r="M186" s="50" t="s">
        <v>49</v>
      </c>
      <c r="N186" s="35" t="s">
        <v>50</v>
      </c>
      <c r="O186" s="33" t="s">
        <v>712</v>
      </c>
      <c r="P186" s="38">
        <v>7780</v>
      </c>
      <c r="Q186" s="37">
        <v>1.2</v>
      </c>
      <c r="R186" s="19">
        <v>9336</v>
      </c>
      <c r="S186" s="55" t="s">
        <v>129</v>
      </c>
    </row>
    <row r="187" spans="1:25" ht="15" customHeight="1" x14ac:dyDescent="0.25">
      <c r="A187" s="20" t="s">
        <v>21</v>
      </c>
      <c r="B187" s="32" t="s">
        <v>17</v>
      </c>
      <c r="C187" s="11" t="s">
        <v>838</v>
      </c>
      <c r="D187" s="32" t="s">
        <v>580</v>
      </c>
      <c r="E187" s="67" t="s">
        <v>581</v>
      </c>
      <c r="F187" s="34" t="s">
        <v>582</v>
      </c>
      <c r="G187" s="34"/>
      <c r="H187" s="32" t="s">
        <v>568</v>
      </c>
      <c r="I187" s="33" t="s">
        <v>30</v>
      </c>
      <c r="J187" s="16">
        <v>3.5</v>
      </c>
      <c r="K187" s="16">
        <f>+J187*P187</f>
        <v>62160</v>
      </c>
      <c r="L187" s="12" t="s">
        <v>583</v>
      </c>
      <c r="M187" s="50" t="s">
        <v>335</v>
      </c>
      <c r="N187" s="35" t="s">
        <v>82</v>
      </c>
      <c r="O187" s="39" t="s">
        <v>584</v>
      </c>
      <c r="P187" s="17">
        <v>17760</v>
      </c>
      <c r="Q187" s="37">
        <v>5.37</v>
      </c>
      <c r="R187" s="19">
        <v>95371.199999999997</v>
      </c>
      <c r="S187" s="1">
        <v>8771</v>
      </c>
      <c r="T187" s="1" t="s">
        <v>823</v>
      </c>
      <c r="U187" s="1" t="s">
        <v>824</v>
      </c>
      <c r="V187" s="5">
        <v>7505</v>
      </c>
      <c r="W187" s="5">
        <v>1200.8</v>
      </c>
      <c r="X187" s="5">
        <v>300.2</v>
      </c>
      <c r="Y187" s="5">
        <v>8405.5999999999985</v>
      </c>
    </row>
    <row r="188" spans="1:25" ht="15" customHeight="1" x14ac:dyDescent="0.25">
      <c r="A188" s="20" t="s">
        <v>21</v>
      </c>
      <c r="B188" s="32" t="s">
        <v>17</v>
      </c>
      <c r="C188" s="11" t="s">
        <v>838</v>
      </c>
      <c r="D188" s="32" t="s">
        <v>593</v>
      </c>
      <c r="E188" s="67" t="s">
        <v>581</v>
      </c>
      <c r="F188" s="34" t="s">
        <v>594</v>
      </c>
      <c r="G188" s="34"/>
      <c r="H188" s="32" t="s">
        <v>568</v>
      </c>
      <c r="I188" s="32" t="s">
        <v>127</v>
      </c>
      <c r="J188" s="16">
        <v>3.5</v>
      </c>
      <c r="K188" s="16">
        <f>+J188*P188</f>
        <v>75215</v>
      </c>
      <c r="L188" s="12" t="s">
        <v>595</v>
      </c>
      <c r="M188" s="50" t="s">
        <v>558</v>
      </c>
      <c r="N188" s="35" t="s">
        <v>283</v>
      </c>
      <c r="O188" s="33" t="s">
        <v>596</v>
      </c>
      <c r="P188" s="17">
        <v>21490</v>
      </c>
      <c r="Q188" s="37">
        <v>3.7</v>
      </c>
      <c r="R188" s="19">
        <v>79513</v>
      </c>
      <c r="S188" s="1" t="s">
        <v>825</v>
      </c>
    </row>
    <row r="189" spans="1:25" ht="15" customHeight="1" x14ac:dyDescent="0.25">
      <c r="A189" s="20" t="s">
        <v>21</v>
      </c>
      <c r="B189" s="32" t="s">
        <v>17</v>
      </c>
      <c r="C189" s="11" t="s">
        <v>838</v>
      </c>
      <c r="D189" s="32" t="s">
        <v>600</v>
      </c>
      <c r="E189" s="67" t="s">
        <v>581</v>
      </c>
      <c r="F189" s="34" t="s">
        <v>601</v>
      </c>
      <c r="G189" s="34"/>
      <c r="H189" s="32" t="s">
        <v>602</v>
      </c>
      <c r="I189" s="33" t="s">
        <v>127</v>
      </c>
      <c r="J189" s="16">
        <v>3.5</v>
      </c>
      <c r="K189" s="16">
        <f>+J189*P189</f>
        <v>75880</v>
      </c>
      <c r="L189" s="12" t="s">
        <v>603</v>
      </c>
      <c r="M189" s="50" t="s">
        <v>558</v>
      </c>
      <c r="N189" s="35" t="s">
        <v>283</v>
      </c>
      <c r="O189" s="33" t="s">
        <v>604</v>
      </c>
      <c r="P189" s="38">
        <v>21680</v>
      </c>
      <c r="Q189" s="37">
        <v>3.7</v>
      </c>
      <c r="R189" s="19">
        <v>80216</v>
      </c>
      <c r="S189" s="1" t="s">
        <v>825</v>
      </c>
    </row>
    <row r="190" spans="1:25" ht="15" customHeight="1" x14ac:dyDescent="0.25">
      <c r="A190" s="20" t="s">
        <v>21</v>
      </c>
      <c r="B190" s="32" t="s">
        <v>17</v>
      </c>
      <c r="C190" s="11" t="s">
        <v>832</v>
      </c>
      <c r="D190" s="32" t="s">
        <v>564</v>
      </c>
      <c r="E190" s="67" t="s">
        <v>530</v>
      </c>
      <c r="F190" s="34" t="s">
        <v>565</v>
      </c>
      <c r="G190" s="34"/>
      <c r="H190" s="32" t="s">
        <v>530</v>
      </c>
      <c r="I190" s="32" t="s">
        <v>109</v>
      </c>
      <c r="J190" s="16">
        <v>3.5</v>
      </c>
      <c r="K190" s="16">
        <f>+J190*P190</f>
        <v>77311.5</v>
      </c>
      <c r="L190" s="12"/>
      <c r="M190" s="50" t="s">
        <v>135</v>
      </c>
      <c r="N190" s="35" t="s">
        <v>136</v>
      </c>
      <c r="O190" s="33" t="s">
        <v>566</v>
      </c>
      <c r="P190" s="17">
        <v>22089</v>
      </c>
      <c r="Q190" s="37">
        <v>5.3</v>
      </c>
      <c r="R190" s="19">
        <v>117071.7</v>
      </c>
      <c r="S190" s="1">
        <v>14470</v>
      </c>
      <c r="T190" s="1" t="s">
        <v>803</v>
      </c>
      <c r="U190" s="1" t="s">
        <v>804</v>
      </c>
      <c r="V190" s="5">
        <v>14350</v>
      </c>
      <c r="W190" s="5">
        <v>2296</v>
      </c>
      <c r="X190" s="5">
        <v>574</v>
      </c>
      <c r="Y190" s="5">
        <v>16072</v>
      </c>
    </row>
    <row r="191" spans="1:25" ht="15" customHeight="1" x14ac:dyDescent="0.25">
      <c r="A191" s="20" t="s">
        <v>21</v>
      </c>
      <c r="B191" s="32" t="s">
        <v>17</v>
      </c>
      <c r="C191" s="11" t="s">
        <v>834</v>
      </c>
      <c r="D191" s="32" t="s">
        <v>703</v>
      </c>
      <c r="E191" s="67" t="s">
        <v>530</v>
      </c>
      <c r="F191" s="34" t="s">
        <v>774</v>
      </c>
      <c r="G191" s="34"/>
      <c r="H191" s="32" t="s">
        <v>691</v>
      </c>
      <c r="I191" s="33" t="s">
        <v>30</v>
      </c>
      <c r="J191" s="16">
        <v>3.5</v>
      </c>
      <c r="K191" s="16">
        <f>+J191*P191</f>
        <v>88585</v>
      </c>
      <c r="L191" s="12"/>
      <c r="M191" s="50" t="s">
        <v>73</v>
      </c>
      <c r="N191" s="35" t="s">
        <v>74</v>
      </c>
      <c r="O191" s="33" t="s">
        <v>704</v>
      </c>
      <c r="P191" s="38">
        <v>25310</v>
      </c>
      <c r="Q191" s="37">
        <v>4.5</v>
      </c>
      <c r="R191" s="19">
        <v>113895</v>
      </c>
      <c r="S191" s="55" t="s">
        <v>129</v>
      </c>
    </row>
    <row r="192" spans="1:25" ht="15" customHeight="1" x14ac:dyDescent="0.25">
      <c r="A192" s="20" t="s">
        <v>21</v>
      </c>
      <c r="B192" s="32" t="s">
        <v>17</v>
      </c>
      <c r="C192" s="11" t="s">
        <v>837</v>
      </c>
      <c r="D192" s="32" t="s">
        <v>647</v>
      </c>
      <c r="E192" s="67" t="s">
        <v>530</v>
      </c>
      <c r="F192" s="34" t="s">
        <v>648</v>
      </c>
      <c r="G192" s="34"/>
      <c r="H192" s="32" t="s">
        <v>626</v>
      </c>
      <c r="I192" s="33" t="s">
        <v>30</v>
      </c>
      <c r="J192" s="16">
        <v>3.5</v>
      </c>
      <c r="K192" s="16">
        <f>+J192*P192</f>
        <v>71260</v>
      </c>
      <c r="L192" s="12" t="s">
        <v>649</v>
      </c>
      <c r="M192" s="50" t="s">
        <v>49</v>
      </c>
      <c r="N192" s="35" t="s">
        <v>50</v>
      </c>
      <c r="O192" s="33" t="s">
        <v>650</v>
      </c>
      <c r="P192" s="38">
        <v>20360</v>
      </c>
      <c r="Q192" s="37">
        <v>4.5999999999999996</v>
      </c>
      <c r="R192" s="19">
        <v>93656</v>
      </c>
      <c r="S192" s="55" t="s">
        <v>129</v>
      </c>
      <c r="T192" s="62"/>
      <c r="U192" s="62"/>
      <c r="V192" s="63"/>
      <c r="W192" s="63"/>
      <c r="X192" s="63"/>
      <c r="Y192" s="63"/>
    </row>
    <row r="193" spans="1:25" ht="15" customHeight="1" x14ac:dyDescent="0.25">
      <c r="A193" s="20" t="s">
        <v>21</v>
      </c>
      <c r="B193" s="32" t="s">
        <v>17</v>
      </c>
      <c r="C193" s="11" t="s">
        <v>837</v>
      </c>
      <c r="D193" s="32" t="s">
        <v>695</v>
      </c>
      <c r="E193" s="67" t="s">
        <v>530</v>
      </c>
      <c r="F193" s="34" t="s">
        <v>668</v>
      </c>
      <c r="G193" s="34"/>
      <c r="H193" s="32" t="s">
        <v>691</v>
      </c>
      <c r="I193" s="33" t="s">
        <v>30</v>
      </c>
      <c r="J193" s="16">
        <v>3.5</v>
      </c>
      <c r="K193" s="16">
        <f>+J193*P193</f>
        <v>75180</v>
      </c>
      <c r="L193" s="12"/>
      <c r="M193" s="50" t="s">
        <v>49</v>
      </c>
      <c r="N193" s="35" t="s">
        <v>50</v>
      </c>
      <c r="O193" s="33" t="s">
        <v>696</v>
      </c>
      <c r="P193" s="38">
        <v>21480</v>
      </c>
      <c r="Q193" s="37">
        <v>4.5999999999999996</v>
      </c>
      <c r="R193" s="40">
        <v>98808</v>
      </c>
      <c r="S193" s="55" t="s">
        <v>129</v>
      </c>
    </row>
    <row r="194" spans="1:25" ht="15" customHeight="1" x14ac:dyDescent="0.25">
      <c r="A194" s="20" t="s">
        <v>21</v>
      </c>
      <c r="B194" s="32" t="s">
        <v>17</v>
      </c>
      <c r="C194" s="11" t="s">
        <v>838</v>
      </c>
      <c r="D194" s="32" t="s">
        <v>605</v>
      </c>
      <c r="E194" s="67" t="s">
        <v>530</v>
      </c>
      <c r="F194" s="34" t="s">
        <v>606</v>
      </c>
      <c r="G194" s="34"/>
      <c r="H194" s="32" t="s">
        <v>602</v>
      </c>
      <c r="I194" s="33" t="s">
        <v>127</v>
      </c>
      <c r="J194" s="16">
        <v>3.5</v>
      </c>
      <c r="K194" s="16">
        <f>+J194*P194</f>
        <v>76720</v>
      </c>
      <c r="L194" s="12" t="s">
        <v>607</v>
      </c>
      <c r="M194" s="50" t="s">
        <v>558</v>
      </c>
      <c r="N194" s="35" t="s">
        <v>283</v>
      </c>
      <c r="O194" s="33" t="s">
        <v>608</v>
      </c>
      <c r="P194" s="38">
        <v>21920</v>
      </c>
      <c r="Q194" s="37">
        <v>3.7</v>
      </c>
      <c r="R194" s="19">
        <v>81104</v>
      </c>
      <c r="S194" s="1" t="s">
        <v>825</v>
      </c>
    </row>
    <row r="195" spans="1:25" ht="15" customHeight="1" x14ac:dyDescent="0.25">
      <c r="A195" s="20" t="s">
        <v>21</v>
      </c>
      <c r="B195" s="32" t="s">
        <v>17</v>
      </c>
      <c r="C195" s="11" t="s">
        <v>831</v>
      </c>
      <c r="D195" s="32" t="s">
        <v>567</v>
      </c>
      <c r="E195" s="67" t="s">
        <v>568</v>
      </c>
      <c r="F195" s="34" t="s">
        <v>569</v>
      </c>
      <c r="G195" s="34"/>
      <c r="H195" s="32" t="s">
        <v>568</v>
      </c>
      <c r="I195" s="33" t="s">
        <v>19</v>
      </c>
      <c r="J195" s="16">
        <v>3.5</v>
      </c>
      <c r="K195" s="16">
        <f>+J195*P195</f>
        <v>69401.5</v>
      </c>
      <c r="L195" s="12" t="s">
        <v>570</v>
      </c>
      <c r="M195" s="50" t="s">
        <v>306</v>
      </c>
      <c r="N195" s="35" t="s">
        <v>23</v>
      </c>
      <c r="O195" s="33" t="s">
        <v>571</v>
      </c>
      <c r="P195" s="17">
        <v>19829</v>
      </c>
      <c r="Q195" s="37">
        <v>5.29</v>
      </c>
      <c r="R195" s="19">
        <v>104895.41</v>
      </c>
      <c r="S195" s="1">
        <v>953</v>
      </c>
      <c r="T195" s="1" t="s">
        <v>801</v>
      </c>
      <c r="U195" s="1" t="s">
        <v>802</v>
      </c>
      <c r="V195" s="5">
        <v>15005</v>
      </c>
      <c r="W195" s="5">
        <v>2400.8000000000002</v>
      </c>
      <c r="X195" s="5">
        <v>600.20000000000005</v>
      </c>
      <c r="Y195" s="5">
        <v>16805.599999999999</v>
      </c>
    </row>
    <row r="196" spans="1:25" ht="15" customHeight="1" x14ac:dyDescent="0.25">
      <c r="A196" s="20" t="s">
        <v>21</v>
      </c>
      <c r="B196" s="32" t="s">
        <v>17</v>
      </c>
      <c r="C196" s="11" t="s">
        <v>833</v>
      </c>
      <c r="D196" s="32" t="s">
        <v>675</v>
      </c>
      <c r="E196" s="67" t="s">
        <v>568</v>
      </c>
      <c r="F196" s="34" t="s">
        <v>676</v>
      </c>
      <c r="G196" s="34"/>
      <c r="H196" s="32" t="s">
        <v>626</v>
      </c>
      <c r="I196" s="32" t="s">
        <v>109</v>
      </c>
      <c r="J196" s="16">
        <v>3.1</v>
      </c>
      <c r="K196" s="16">
        <f>+J196*P196</f>
        <v>80166</v>
      </c>
      <c r="L196" s="12" t="s">
        <v>677</v>
      </c>
      <c r="M196" s="50" t="s">
        <v>110</v>
      </c>
      <c r="N196" s="35" t="s">
        <v>111</v>
      </c>
      <c r="O196" s="33" t="s">
        <v>678</v>
      </c>
      <c r="P196" s="38">
        <v>25860</v>
      </c>
      <c r="Q196" s="37">
        <v>5.3</v>
      </c>
      <c r="R196" s="19">
        <v>137058</v>
      </c>
      <c r="S196" s="1">
        <v>22120</v>
      </c>
      <c r="T196" s="1" t="s">
        <v>811</v>
      </c>
      <c r="U196" s="1" t="s">
        <v>812</v>
      </c>
      <c r="V196" s="5">
        <v>49909.799999999996</v>
      </c>
      <c r="W196" s="5">
        <v>7985.5679999999993</v>
      </c>
      <c r="X196" s="5">
        <v>1996.3919999999998</v>
      </c>
      <c r="Y196" s="5">
        <v>55898.975999999995</v>
      </c>
    </row>
    <row r="197" spans="1:25" ht="15" customHeight="1" x14ac:dyDescent="0.25">
      <c r="A197" s="20" t="s">
        <v>21</v>
      </c>
      <c r="B197" s="32" t="s">
        <v>17</v>
      </c>
      <c r="C197" s="11" t="s">
        <v>833</v>
      </c>
      <c r="D197" s="32" t="s">
        <v>726</v>
      </c>
      <c r="E197" s="67" t="s">
        <v>568</v>
      </c>
      <c r="F197" s="34" t="s">
        <v>785</v>
      </c>
      <c r="G197" s="34"/>
      <c r="H197" s="32" t="s">
        <v>691</v>
      </c>
      <c r="I197" s="32" t="s">
        <v>109</v>
      </c>
      <c r="J197" s="16">
        <v>3.1</v>
      </c>
      <c r="K197" s="16">
        <f>+J197*P197</f>
        <v>55707</v>
      </c>
      <c r="L197" s="12" t="s">
        <v>727</v>
      </c>
      <c r="M197" s="50" t="s">
        <v>110</v>
      </c>
      <c r="N197" s="35" t="s">
        <v>111</v>
      </c>
      <c r="O197" s="33" t="s">
        <v>728</v>
      </c>
      <c r="P197" s="38">
        <v>17970</v>
      </c>
      <c r="Q197" s="37">
        <v>5.3</v>
      </c>
      <c r="R197" s="19">
        <v>95241</v>
      </c>
      <c r="V197" s="5">
        <f>1930*P197/1000</f>
        <v>34682.1</v>
      </c>
      <c r="W197" s="5">
        <f>+V197*0.16</f>
        <v>5549.1359999999995</v>
      </c>
      <c r="X197" s="5">
        <f>+V197*0.04</f>
        <v>1387.2839999999999</v>
      </c>
      <c r="Y197" s="5">
        <f>+V197+W197-X197</f>
        <v>38843.951999999997</v>
      </c>
    </row>
    <row r="198" spans="1:25" ht="15" customHeight="1" x14ac:dyDescent="0.25">
      <c r="A198" s="20" t="s">
        <v>21</v>
      </c>
      <c r="B198" s="32" t="s">
        <v>17</v>
      </c>
      <c r="C198" s="11" t="s">
        <v>833</v>
      </c>
      <c r="D198" s="32" t="s">
        <v>729</v>
      </c>
      <c r="E198" s="67" t="s">
        <v>568</v>
      </c>
      <c r="F198" s="34" t="s">
        <v>786</v>
      </c>
      <c r="G198" s="34"/>
      <c r="H198" s="32" t="s">
        <v>691</v>
      </c>
      <c r="I198" s="32" t="s">
        <v>109</v>
      </c>
      <c r="J198" s="16">
        <v>3.1</v>
      </c>
      <c r="K198" s="16">
        <f>+J198*P198</f>
        <v>53568</v>
      </c>
      <c r="L198" s="12" t="s">
        <v>730</v>
      </c>
      <c r="M198" s="50" t="s">
        <v>110</v>
      </c>
      <c r="N198" s="35" t="s">
        <v>111</v>
      </c>
      <c r="O198" s="33" t="s">
        <v>731</v>
      </c>
      <c r="P198" s="38">
        <v>17280</v>
      </c>
      <c r="Q198" s="37">
        <v>5.3</v>
      </c>
      <c r="R198" s="19">
        <v>91584</v>
      </c>
      <c r="V198" s="5">
        <f>1930*P198/1000</f>
        <v>33350.400000000001</v>
      </c>
      <c r="W198" s="5">
        <f>+V198*0.16</f>
        <v>5336.0640000000003</v>
      </c>
      <c r="X198" s="5">
        <f>+V198*0.04</f>
        <v>1334.0160000000001</v>
      </c>
      <c r="Y198" s="5">
        <f>+V198+W198-X198</f>
        <v>37352.447999999997</v>
      </c>
    </row>
    <row r="199" spans="1:25" ht="15" customHeight="1" x14ac:dyDescent="0.25">
      <c r="A199" s="20" t="s">
        <v>21</v>
      </c>
      <c r="B199" s="32" t="s">
        <v>17</v>
      </c>
      <c r="C199" s="11" t="s">
        <v>834</v>
      </c>
      <c r="D199" s="32" t="s">
        <v>705</v>
      </c>
      <c r="E199" s="67" t="s">
        <v>568</v>
      </c>
      <c r="F199" s="34" t="s">
        <v>775</v>
      </c>
      <c r="G199" s="34"/>
      <c r="H199" s="32" t="s">
        <v>691</v>
      </c>
      <c r="I199" s="33" t="s">
        <v>30</v>
      </c>
      <c r="J199" s="16">
        <v>3.5</v>
      </c>
      <c r="K199" s="16">
        <f>+J199*P199</f>
        <v>88550</v>
      </c>
      <c r="L199" s="12"/>
      <c r="M199" s="50" t="s">
        <v>73</v>
      </c>
      <c r="N199" s="35" t="s">
        <v>74</v>
      </c>
      <c r="O199" s="33" t="s">
        <v>706</v>
      </c>
      <c r="P199" s="38">
        <v>25300</v>
      </c>
      <c r="Q199" s="37">
        <v>4.5</v>
      </c>
      <c r="R199" s="19">
        <v>113850</v>
      </c>
      <c r="S199" s="55" t="s">
        <v>129</v>
      </c>
    </row>
    <row r="200" spans="1:25" ht="15" customHeight="1" x14ac:dyDescent="0.25">
      <c r="A200" s="20" t="s">
        <v>21</v>
      </c>
      <c r="B200" s="32" t="s">
        <v>17</v>
      </c>
      <c r="C200" s="11" t="s">
        <v>835</v>
      </c>
      <c r="D200" s="32">
        <v>148677</v>
      </c>
      <c r="E200" s="67" t="s">
        <v>568</v>
      </c>
      <c r="F200" s="34" t="s">
        <v>597</v>
      </c>
      <c r="G200" s="34"/>
      <c r="H200" s="32" t="s">
        <v>568</v>
      </c>
      <c r="I200" s="33" t="s">
        <v>139</v>
      </c>
      <c r="J200" s="16">
        <v>3.5</v>
      </c>
      <c r="K200" s="16">
        <f>+J200*P200</f>
        <v>35210</v>
      </c>
      <c r="L200" s="12" t="s">
        <v>598</v>
      </c>
      <c r="M200" s="50" t="s">
        <v>141</v>
      </c>
      <c r="N200" s="35" t="s">
        <v>142</v>
      </c>
      <c r="O200" s="33" t="s">
        <v>599</v>
      </c>
      <c r="P200" s="17">
        <v>10060</v>
      </c>
      <c r="Q200" s="37">
        <v>3.88</v>
      </c>
      <c r="R200" s="19">
        <v>39032.800000000003</v>
      </c>
      <c r="S200" s="55" t="s">
        <v>129</v>
      </c>
    </row>
    <row r="201" spans="1:25" ht="15" customHeight="1" x14ac:dyDescent="0.25">
      <c r="A201" s="20" t="s">
        <v>21</v>
      </c>
      <c r="B201" s="32" t="s">
        <v>17</v>
      </c>
      <c r="C201" s="11" t="s">
        <v>836</v>
      </c>
      <c r="D201" s="32" t="s">
        <v>619</v>
      </c>
      <c r="E201" s="67" t="s">
        <v>568</v>
      </c>
      <c r="F201" s="34" t="s">
        <v>620</v>
      </c>
      <c r="G201" s="34"/>
      <c r="H201" s="32" t="s">
        <v>602</v>
      </c>
      <c r="I201" s="33" t="s">
        <v>30</v>
      </c>
      <c r="J201" s="16">
        <v>3.5</v>
      </c>
      <c r="K201" s="16">
        <f>+J201*P201</f>
        <v>84980</v>
      </c>
      <c r="L201" s="12"/>
      <c r="M201" s="50" t="s">
        <v>32</v>
      </c>
      <c r="N201" s="35" t="s">
        <v>33</v>
      </c>
      <c r="O201" s="33" t="s">
        <v>621</v>
      </c>
      <c r="P201" s="38">
        <v>24280</v>
      </c>
      <c r="Q201" s="37">
        <v>5.39</v>
      </c>
      <c r="R201" s="19">
        <v>130869.2</v>
      </c>
      <c r="S201" s="1">
        <v>3511</v>
      </c>
      <c r="T201" s="1" t="s">
        <v>821</v>
      </c>
      <c r="U201" s="1" t="s">
        <v>822</v>
      </c>
      <c r="V201" s="5">
        <v>16024.800000000001</v>
      </c>
      <c r="W201" s="5">
        <v>2563.9680000000003</v>
      </c>
      <c r="X201" s="5">
        <v>640.99200000000008</v>
      </c>
      <c r="Y201" s="5">
        <v>17947.776000000002</v>
      </c>
    </row>
    <row r="202" spans="1:25" ht="15" customHeight="1" x14ac:dyDescent="0.25">
      <c r="A202" s="20" t="s">
        <v>21</v>
      </c>
      <c r="B202" s="32" t="s">
        <v>17</v>
      </c>
      <c r="C202" s="11" t="s">
        <v>836</v>
      </c>
      <c r="D202" s="32" t="s">
        <v>622</v>
      </c>
      <c r="E202" s="67" t="s">
        <v>568</v>
      </c>
      <c r="F202" s="34" t="s">
        <v>623</v>
      </c>
      <c r="G202" s="34"/>
      <c r="H202" s="32" t="s">
        <v>602</v>
      </c>
      <c r="I202" s="33" t="s">
        <v>30</v>
      </c>
      <c r="J202" s="16">
        <v>3.5</v>
      </c>
      <c r="K202" s="16">
        <f>+J202*P202</f>
        <v>81550</v>
      </c>
      <c r="L202" s="12"/>
      <c r="M202" s="50" t="s">
        <v>32</v>
      </c>
      <c r="N202" s="35" t="s">
        <v>33</v>
      </c>
      <c r="O202" s="33" t="s">
        <v>624</v>
      </c>
      <c r="P202" s="38">
        <v>23300</v>
      </c>
      <c r="Q202" s="37">
        <v>5.39</v>
      </c>
      <c r="R202" s="19">
        <v>125587</v>
      </c>
      <c r="S202" s="1">
        <v>3509</v>
      </c>
      <c r="T202" s="1" t="s">
        <v>821</v>
      </c>
      <c r="U202" s="1" t="s">
        <v>822</v>
      </c>
      <c r="V202" s="5">
        <v>15378</v>
      </c>
      <c r="W202" s="5">
        <v>2460.48</v>
      </c>
      <c r="X202" s="5">
        <v>615.12</v>
      </c>
      <c r="Y202" s="5">
        <v>17223.36</v>
      </c>
    </row>
    <row r="203" spans="1:25" ht="15" customHeight="1" x14ac:dyDescent="0.25">
      <c r="A203" s="20" t="s">
        <v>21</v>
      </c>
      <c r="B203" s="32" t="s">
        <v>17</v>
      </c>
      <c r="C203" s="11" t="s">
        <v>837</v>
      </c>
      <c r="D203" s="32" t="s">
        <v>713</v>
      </c>
      <c r="E203" s="67" t="s">
        <v>568</v>
      </c>
      <c r="F203" s="34" t="s">
        <v>779</v>
      </c>
      <c r="G203" s="34"/>
      <c r="H203" s="32" t="s">
        <v>691</v>
      </c>
      <c r="I203" s="32" t="s">
        <v>67</v>
      </c>
      <c r="J203" s="16">
        <v>1</v>
      </c>
      <c r="K203" s="16">
        <f>+J203*P203</f>
        <v>9580</v>
      </c>
      <c r="L203" s="12" t="s">
        <v>714</v>
      </c>
      <c r="M203" s="50" t="s">
        <v>49</v>
      </c>
      <c r="N203" s="35" t="s">
        <v>50</v>
      </c>
      <c r="O203" s="33" t="s">
        <v>715</v>
      </c>
      <c r="P203" s="38">
        <v>9580</v>
      </c>
      <c r="Q203" s="37">
        <v>1.2</v>
      </c>
      <c r="R203" s="19">
        <v>11496</v>
      </c>
      <c r="S203" s="55" t="s">
        <v>129</v>
      </c>
    </row>
    <row r="204" spans="1:25" ht="15" customHeight="1" x14ac:dyDescent="0.25">
      <c r="A204" s="20" t="s">
        <v>21</v>
      </c>
      <c r="B204" s="32" t="s">
        <v>17</v>
      </c>
      <c r="C204" s="11" t="s">
        <v>838</v>
      </c>
      <c r="D204" s="32" t="s">
        <v>585</v>
      </c>
      <c r="E204" s="67" t="s">
        <v>568</v>
      </c>
      <c r="F204" s="34" t="s">
        <v>586</v>
      </c>
      <c r="G204" s="34"/>
      <c r="H204" s="32" t="s">
        <v>568</v>
      </c>
      <c r="I204" s="33" t="s">
        <v>30</v>
      </c>
      <c r="J204" s="16">
        <v>3.5</v>
      </c>
      <c r="K204" s="16">
        <f>+J204*P204</f>
        <v>62090</v>
      </c>
      <c r="L204" s="12" t="s">
        <v>587</v>
      </c>
      <c r="M204" s="50" t="s">
        <v>335</v>
      </c>
      <c r="N204" s="35" t="s">
        <v>82</v>
      </c>
      <c r="O204" s="33" t="s">
        <v>588</v>
      </c>
      <c r="P204" s="17">
        <v>17740</v>
      </c>
      <c r="Q204" s="37">
        <v>5.37</v>
      </c>
      <c r="R204" s="19">
        <v>95263.8</v>
      </c>
      <c r="S204" s="1">
        <v>8772</v>
      </c>
      <c r="T204" s="1" t="s">
        <v>823</v>
      </c>
      <c r="U204" s="1" t="s">
        <v>824</v>
      </c>
      <c r="V204" s="5">
        <v>7505</v>
      </c>
      <c r="W204" s="5">
        <v>1200.8</v>
      </c>
      <c r="X204" s="5">
        <v>300.2</v>
      </c>
      <c r="Y204" s="5">
        <v>8405.5999999999985</v>
      </c>
    </row>
    <row r="205" spans="1:25" ht="15" customHeight="1" x14ac:dyDescent="0.25">
      <c r="A205" s="20" t="s">
        <v>21</v>
      </c>
      <c r="B205" s="32" t="s">
        <v>17</v>
      </c>
      <c r="C205" s="11" t="s">
        <v>838</v>
      </c>
      <c r="D205" s="32" t="s">
        <v>716</v>
      </c>
      <c r="E205" s="67" t="s">
        <v>568</v>
      </c>
      <c r="F205" s="34" t="s">
        <v>783</v>
      </c>
      <c r="G205" s="34"/>
      <c r="H205" s="32" t="s">
        <v>691</v>
      </c>
      <c r="I205" s="32" t="s">
        <v>67</v>
      </c>
      <c r="J205" s="16">
        <v>1</v>
      </c>
      <c r="K205" s="16">
        <f>+J205*P205</f>
        <v>7020</v>
      </c>
      <c r="L205" s="12" t="s">
        <v>717</v>
      </c>
      <c r="M205" s="50" t="s">
        <v>335</v>
      </c>
      <c r="N205" s="35" t="s">
        <v>82</v>
      </c>
      <c r="O205" s="33" t="s">
        <v>718</v>
      </c>
      <c r="P205" s="38">
        <v>7020</v>
      </c>
      <c r="Q205" s="37">
        <v>1.2</v>
      </c>
      <c r="R205" s="19">
        <v>8424</v>
      </c>
      <c r="S205" s="1" t="s">
        <v>825</v>
      </c>
    </row>
    <row r="206" spans="1:25" ht="15" customHeight="1" x14ac:dyDescent="0.25">
      <c r="A206" s="20" t="s">
        <v>21</v>
      </c>
      <c r="B206" s="32" t="s">
        <v>17</v>
      </c>
      <c r="C206" s="11" t="s">
        <v>832</v>
      </c>
      <c r="D206" s="32" t="s">
        <v>687</v>
      </c>
      <c r="E206" s="67" t="s">
        <v>602</v>
      </c>
      <c r="F206" s="34" t="s">
        <v>688</v>
      </c>
      <c r="G206" s="34"/>
      <c r="H206" s="32" t="s">
        <v>626</v>
      </c>
      <c r="I206" s="33" t="s">
        <v>109</v>
      </c>
      <c r="J206" s="16">
        <v>3.5</v>
      </c>
      <c r="K206" s="16">
        <f>+J206*P206</f>
        <v>81525.5</v>
      </c>
      <c r="L206" s="12"/>
      <c r="M206" s="50" t="s">
        <v>135</v>
      </c>
      <c r="N206" s="35" t="s">
        <v>136</v>
      </c>
      <c r="O206" s="33" t="s">
        <v>689</v>
      </c>
      <c r="P206" s="38">
        <v>23293</v>
      </c>
      <c r="Q206" s="37">
        <v>5.3</v>
      </c>
      <c r="R206" s="19">
        <v>123452.9</v>
      </c>
      <c r="S206" s="1">
        <v>14581</v>
      </c>
      <c r="T206" s="1" t="s">
        <v>803</v>
      </c>
      <c r="U206" s="1" t="s">
        <v>804</v>
      </c>
      <c r="V206" s="5">
        <v>14350</v>
      </c>
      <c r="W206" s="5">
        <v>2296</v>
      </c>
      <c r="X206" s="5">
        <v>574</v>
      </c>
      <c r="Y206" s="5">
        <v>16072</v>
      </c>
    </row>
    <row r="207" spans="1:25" ht="15" customHeight="1" x14ac:dyDescent="0.25">
      <c r="A207" s="20" t="s">
        <v>21</v>
      </c>
      <c r="B207" s="32" t="s">
        <v>17</v>
      </c>
      <c r="C207" s="11" t="s">
        <v>833</v>
      </c>
      <c r="D207" s="32" t="s">
        <v>679</v>
      </c>
      <c r="E207" s="67" t="s">
        <v>602</v>
      </c>
      <c r="F207" s="34" t="s">
        <v>680</v>
      </c>
      <c r="G207" s="34"/>
      <c r="H207" s="32" t="s">
        <v>626</v>
      </c>
      <c r="I207" s="32" t="s">
        <v>109</v>
      </c>
      <c r="J207" s="16">
        <v>3.1</v>
      </c>
      <c r="K207" s="16">
        <f>+J207*P207</f>
        <v>77903</v>
      </c>
      <c r="L207" s="12" t="s">
        <v>681</v>
      </c>
      <c r="M207" s="50" t="s">
        <v>110</v>
      </c>
      <c r="N207" s="35" t="s">
        <v>111</v>
      </c>
      <c r="O207" s="33" t="s">
        <v>682</v>
      </c>
      <c r="P207" s="38">
        <v>25130</v>
      </c>
      <c r="Q207" s="37">
        <v>5.3</v>
      </c>
      <c r="R207" s="19">
        <v>133189</v>
      </c>
      <c r="S207" s="1">
        <v>14630</v>
      </c>
      <c r="T207" s="1" t="s">
        <v>815</v>
      </c>
      <c r="U207" s="1" t="s">
        <v>816</v>
      </c>
      <c r="V207" s="5">
        <v>48500.9</v>
      </c>
      <c r="W207" s="5">
        <v>7760.1440000000002</v>
      </c>
      <c r="X207" s="5">
        <v>1940.0360000000001</v>
      </c>
      <c r="Y207" s="5">
        <v>54321.008000000002</v>
      </c>
    </row>
    <row r="208" spans="1:25" ht="15" customHeight="1" x14ac:dyDescent="0.25">
      <c r="A208" s="20" t="s">
        <v>21</v>
      </c>
      <c r="B208" s="32" t="s">
        <v>17</v>
      </c>
      <c r="C208" s="11" t="s">
        <v>834</v>
      </c>
      <c r="D208" s="32" t="s">
        <v>707</v>
      </c>
      <c r="E208" s="67" t="s">
        <v>602</v>
      </c>
      <c r="F208" s="34" t="s">
        <v>776</v>
      </c>
      <c r="G208" s="34"/>
      <c r="H208" s="32" t="s">
        <v>691</v>
      </c>
      <c r="I208" s="33" t="s">
        <v>30</v>
      </c>
      <c r="J208" s="16">
        <v>3.5</v>
      </c>
      <c r="K208" s="16">
        <f>+J208*P208</f>
        <v>84385</v>
      </c>
      <c r="L208" s="12"/>
      <c r="M208" s="50" t="s">
        <v>73</v>
      </c>
      <c r="N208" s="35" t="s">
        <v>74</v>
      </c>
      <c r="O208" s="33" t="s">
        <v>708</v>
      </c>
      <c r="P208" s="38">
        <v>24110</v>
      </c>
      <c r="Q208" s="37">
        <v>4.5</v>
      </c>
      <c r="R208" s="19">
        <v>108495</v>
      </c>
      <c r="S208" s="55" t="s">
        <v>129</v>
      </c>
    </row>
    <row r="209" spans="1:25" ht="15" customHeight="1" x14ac:dyDescent="0.25">
      <c r="A209" s="20" t="s">
        <v>21</v>
      </c>
      <c r="B209" s="32" t="s">
        <v>17</v>
      </c>
      <c r="C209" s="11" t="s">
        <v>836</v>
      </c>
      <c r="D209" s="32" t="s">
        <v>630</v>
      </c>
      <c r="E209" s="67" t="s">
        <v>602</v>
      </c>
      <c r="F209" s="34" t="s">
        <v>631</v>
      </c>
      <c r="G209" s="34"/>
      <c r="H209" s="32" t="s">
        <v>626</v>
      </c>
      <c r="I209" s="33" t="s">
        <v>30</v>
      </c>
      <c r="J209" s="16">
        <v>3.5</v>
      </c>
      <c r="K209" s="16">
        <f>+J209*P209</f>
        <v>84805</v>
      </c>
      <c r="L209" s="12"/>
      <c r="M209" s="50" t="s">
        <v>32</v>
      </c>
      <c r="N209" s="35" t="s">
        <v>33</v>
      </c>
      <c r="O209" s="33" t="s">
        <v>632</v>
      </c>
      <c r="P209" s="38">
        <v>24230</v>
      </c>
      <c r="Q209" s="37">
        <v>5.39</v>
      </c>
      <c r="R209" s="19">
        <v>130599.7</v>
      </c>
      <c r="S209" s="1">
        <v>3512</v>
      </c>
      <c r="T209" s="1" t="s">
        <v>821</v>
      </c>
      <c r="U209" s="1" t="s">
        <v>822</v>
      </c>
      <c r="V209" s="5">
        <v>15991.800000000001</v>
      </c>
      <c r="W209" s="5">
        <v>2558.6880000000001</v>
      </c>
      <c r="X209" s="5">
        <v>639.67200000000003</v>
      </c>
      <c r="Y209" s="5">
        <v>17910.816000000003</v>
      </c>
    </row>
    <row r="210" spans="1:25" ht="15" customHeight="1" x14ac:dyDescent="0.25">
      <c r="A210" s="20" t="s">
        <v>21</v>
      </c>
      <c r="B210" s="32" t="s">
        <v>17</v>
      </c>
      <c r="C210" s="11" t="s">
        <v>836</v>
      </c>
      <c r="D210" s="32" t="s">
        <v>633</v>
      </c>
      <c r="E210" s="67" t="s">
        <v>602</v>
      </c>
      <c r="F210" s="34" t="s">
        <v>634</v>
      </c>
      <c r="G210" s="34"/>
      <c r="H210" s="32" t="s">
        <v>626</v>
      </c>
      <c r="I210" s="33" t="s">
        <v>30</v>
      </c>
      <c r="J210" s="16">
        <v>3.5</v>
      </c>
      <c r="K210" s="16">
        <f>+J210*P210</f>
        <v>80360</v>
      </c>
      <c r="L210" s="12"/>
      <c r="M210" s="50" t="s">
        <v>32</v>
      </c>
      <c r="N210" s="35" t="s">
        <v>33</v>
      </c>
      <c r="O210" s="33" t="s">
        <v>635</v>
      </c>
      <c r="P210" s="38">
        <v>22960</v>
      </c>
      <c r="Q210" s="37">
        <v>5.39</v>
      </c>
      <c r="R210" s="19">
        <v>123754.4</v>
      </c>
      <c r="S210" s="1">
        <v>3513</v>
      </c>
      <c r="T210" s="1" t="s">
        <v>821</v>
      </c>
      <c r="U210" s="1" t="s">
        <v>822</v>
      </c>
      <c r="V210" s="5">
        <v>15153.6</v>
      </c>
      <c r="W210" s="5">
        <v>2424.576</v>
      </c>
      <c r="X210" s="5">
        <v>606.14400000000001</v>
      </c>
      <c r="Y210" s="5">
        <v>16972.031999999999</v>
      </c>
    </row>
    <row r="211" spans="1:25" ht="15" customHeight="1" x14ac:dyDescent="0.25">
      <c r="A211" s="20" t="s">
        <v>21</v>
      </c>
      <c r="B211" s="32" t="s">
        <v>17</v>
      </c>
      <c r="C211" s="11" t="s">
        <v>837</v>
      </c>
      <c r="D211" s="32" t="s">
        <v>651</v>
      </c>
      <c r="E211" s="67" t="s">
        <v>602</v>
      </c>
      <c r="F211" s="34" t="s">
        <v>652</v>
      </c>
      <c r="G211" s="34"/>
      <c r="H211" s="32" t="s">
        <v>626</v>
      </c>
      <c r="I211" s="33" t="s">
        <v>30</v>
      </c>
      <c r="J211" s="16">
        <v>3.5</v>
      </c>
      <c r="K211" s="16">
        <f>+J211*P211</f>
        <v>70140</v>
      </c>
      <c r="L211" s="12" t="s">
        <v>653</v>
      </c>
      <c r="M211" s="50" t="s">
        <v>49</v>
      </c>
      <c r="N211" s="35" t="s">
        <v>50</v>
      </c>
      <c r="O211" s="33" t="s">
        <v>654</v>
      </c>
      <c r="P211" s="38">
        <v>20040</v>
      </c>
      <c r="Q211" s="37">
        <v>4.5999999999999996</v>
      </c>
      <c r="R211" s="19">
        <v>92184</v>
      </c>
      <c r="S211" s="55" t="s">
        <v>129</v>
      </c>
    </row>
    <row r="212" spans="1:25" ht="15" customHeight="1" x14ac:dyDescent="0.25">
      <c r="A212" s="20" t="s">
        <v>21</v>
      </c>
      <c r="B212" s="32" t="s">
        <v>17</v>
      </c>
      <c r="C212" s="11" t="s">
        <v>837</v>
      </c>
      <c r="D212" s="32" t="s">
        <v>655</v>
      </c>
      <c r="E212" s="67" t="s">
        <v>602</v>
      </c>
      <c r="F212" s="34" t="s">
        <v>656</v>
      </c>
      <c r="G212" s="34"/>
      <c r="H212" s="32" t="s">
        <v>626</v>
      </c>
      <c r="I212" s="33" t="s">
        <v>30</v>
      </c>
      <c r="J212" s="16">
        <v>3.5</v>
      </c>
      <c r="K212" s="16">
        <f>+J212*P212</f>
        <v>69090</v>
      </c>
      <c r="L212" s="12" t="s">
        <v>657</v>
      </c>
      <c r="M212" s="50" t="s">
        <v>49</v>
      </c>
      <c r="N212" s="35" t="s">
        <v>50</v>
      </c>
      <c r="O212" s="33" t="s">
        <v>658</v>
      </c>
      <c r="P212" s="38">
        <v>19740</v>
      </c>
      <c r="Q212" s="37">
        <v>4.5999999999999996</v>
      </c>
      <c r="R212" s="19">
        <v>90804</v>
      </c>
      <c r="S212" s="55" t="s">
        <v>129</v>
      </c>
    </row>
    <row r="213" spans="1:25" ht="15" customHeight="1" x14ac:dyDescent="0.25">
      <c r="A213" s="20" t="s">
        <v>21</v>
      </c>
      <c r="B213" s="32" t="s">
        <v>17</v>
      </c>
      <c r="C213" s="11" t="s">
        <v>837</v>
      </c>
      <c r="D213" s="32" t="s">
        <v>659</v>
      </c>
      <c r="E213" s="67" t="s">
        <v>602</v>
      </c>
      <c r="F213" s="34" t="s">
        <v>660</v>
      </c>
      <c r="G213" s="34"/>
      <c r="H213" s="32" t="s">
        <v>626</v>
      </c>
      <c r="I213" s="33" t="s">
        <v>30</v>
      </c>
      <c r="J213" s="16">
        <v>3.5</v>
      </c>
      <c r="K213" s="16">
        <f>+J213*P213</f>
        <v>75250</v>
      </c>
      <c r="L213" s="12" t="s">
        <v>661</v>
      </c>
      <c r="M213" s="50" t="s">
        <v>49</v>
      </c>
      <c r="N213" s="35" t="s">
        <v>50</v>
      </c>
      <c r="O213" s="33" t="s">
        <v>662</v>
      </c>
      <c r="P213" s="38">
        <v>21500</v>
      </c>
      <c r="Q213" s="37">
        <v>4.5999999999999996</v>
      </c>
      <c r="R213" s="19">
        <v>98900</v>
      </c>
      <c r="S213" s="55" t="s">
        <v>129</v>
      </c>
    </row>
    <row r="214" spans="1:25" ht="15" customHeight="1" x14ac:dyDescent="0.25">
      <c r="A214" s="20" t="s">
        <v>21</v>
      </c>
      <c r="B214" s="32" t="s">
        <v>17</v>
      </c>
      <c r="C214" s="11" t="s">
        <v>837</v>
      </c>
      <c r="D214" s="32" t="s">
        <v>663</v>
      </c>
      <c r="E214" s="67" t="s">
        <v>602</v>
      </c>
      <c r="F214" s="34" t="s">
        <v>664</v>
      </c>
      <c r="G214" s="34"/>
      <c r="H214" s="32" t="s">
        <v>626</v>
      </c>
      <c r="I214" s="33" t="s">
        <v>30</v>
      </c>
      <c r="J214" s="16">
        <v>3.5</v>
      </c>
      <c r="K214" s="16">
        <f>+J214*P214</f>
        <v>62930</v>
      </c>
      <c r="L214" s="12" t="s">
        <v>665</v>
      </c>
      <c r="M214" s="50" t="s">
        <v>49</v>
      </c>
      <c r="N214" s="35" t="s">
        <v>50</v>
      </c>
      <c r="O214" s="33" t="s">
        <v>666</v>
      </c>
      <c r="P214" s="38">
        <v>17980</v>
      </c>
      <c r="Q214" s="37">
        <v>4.5999999999999996</v>
      </c>
      <c r="R214" s="19">
        <v>82708</v>
      </c>
      <c r="S214" s="55" t="s">
        <v>129</v>
      </c>
    </row>
    <row r="215" spans="1:25" ht="15" customHeight="1" x14ac:dyDescent="0.25">
      <c r="A215" s="20" t="s">
        <v>21</v>
      </c>
      <c r="B215" s="32" t="s">
        <v>17</v>
      </c>
      <c r="C215" s="11" t="s">
        <v>837</v>
      </c>
      <c r="D215" s="32" t="s">
        <v>667</v>
      </c>
      <c r="E215" s="67" t="s">
        <v>602</v>
      </c>
      <c r="F215" s="34" t="s">
        <v>668</v>
      </c>
      <c r="G215" s="34"/>
      <c r="H215" s="32" t="s">
        <v>626</v>
      </c>
      <c r="I215" s="33" t="s">
        <v>30</v>
      </c>
      <c r="J215" s="16">
        <v>3.5</v>
      </c>
      <c r="K215" s="16">
        <f>+J215*P215</f>
        <v>57540</v>
      </c>
      <c r="L215" s="12" t="s">
        <v>669</v>
      </c>
      <c r="M215" s="50" t="s">
        <v>49</v>
      </c>
      <c r="N215" s="35" t="s">
        <v>50</v>
      </c>
      <c r="O215" s="33" t="s">
        <v>670</v>
      </c>
      <c r="P215" s="38">
        <v>16440</v>
      </c>
      <c r="Q215" s="37">
        <v>4.5999999999999996</v>
      </c>
      <c r="R215" s="19">
        <v>75624</v>
      </c>
      <c r="S215" s="55" t="s">
        <v>129</v>
      </c>
    </row>
    <row r="216" spans="1:25" ht="15" customHeight="1" x14ac:dyDescent="0.25">
      <c r="A216" s="20" t="s">
        <v>21</v>
      </c>
      <c r="B216" s="32" t="s">
        <v>17</v>
      </c>
      <c r="C216" s="11" t="s">
        <v>838</v>
      </c>
      <c r="D216" s="32" t="s">
        <v>719</v>
      </c>
      <c r="E216" s="67" t="s">
        <v>602</v>
      </c>
      <c r="F216" s="34" t="s">
        <v>720</v>
      </c>
      <c r="G216" s="34"/>
      <c r="H216" s="32" t="s">
        <v>691</v>
      </c>
      <c r="I216" s="32" t="s">
        <v>127</v>
      </c>
      <c r="J216" s="16">
        <v>3.5</v>
      </c>
      <c r="K216" s="16">
        <f>+J216*P216</f>
        <v>75005</v>
      </c>
      <c r="L216" s="12" t="s">
        <v>721</v>
      </c>
      <c r="M216" s="50" t="s">
        <v>558</v>
      </c>
      <c r="N216" s="35" t="s">
        <v>283</v>
      </c>
      <c r="O216" s="33" t="s">
        <v>722</v>
      </c>
      <c r="P216" s="38">
        <v>21430</v>
      </c>
      <c r="Q216" s="37">
        <v>3.7</v>
      </c>
      <c r="R216" s="19">
        <v>79291</v>
      </c>
      <c r="S216" s="1" t="s">
        <v>825</v>
      </c>
    </row>
    <row r="217" spans="1:25" ht="15" customHeight="1" x14ac:dyDescent="0.25">
      <c r="A217" s="20" t="s">
        <v>21</v>
      </c>
      <c r="B217" s="32" t="s">
        <v>17</v>
      </c>
      <c r="C217" s="11" t="s">
        <v>831</v>
      </c>
      <c r="D217" s="32" t="s">
        <v>625</v>
      </c>
      <c r="E217" s="67" t="s">
        <v>626</v>
      </c>
      <c r="F217" s="34" t="s">
        <v>627</v>
      </c>
      <c r="G217" s="34"/>
      <c r="H217" s="32" t="s">
        <v>626</v>
      </c>
      <c r="I217" s="33" t="s">
        <v>19</v>
      </c>
      <c r="J217" s="16">
        <v>3.5</v>
      </c>
      <c r="K217" s="16">
        <f>+J217*P217</f>
        <v>70413</v>
      </c>
      <c r="L217" s="12" t="s">
        <v>628</v>
      </c>
      <c r="M217" s="50" t="s">
        <v>306</v>
      </c>
      <c r="N217" s="35" t="s">
        <v>23</v>
      </c>
      <c r="O217" s="33" t="s">
        <v>629</v>
      </c>
      <c r="P217" s="38">
        <v>20118</v>
      </c>
      <c r="Q217" s="37">
        <v>5.29</v>
      </c>
      <c r="R217" s="19">
        <v>106424.22</v>
      </c>
      <c r="S217" s="1">
        <v>954</v>
      </c>
      <c r="T217" s="1" t="s">
        <v>801</v>
      </c>
      <c r="U217" s="1" t="s">
        <v>802</v>
      </c>
      <c r="V217" s="5">
        <v>15005</v>
      </c>
      <c r="W217" s="5">
        <v>2400.8000000000002</v>
      </c>
      <c r="X217" s="5">
        <v>600.20000000000005</v>
      </c>
      <c r="Y217" s="5">
        <v>16805.599999999999</v>
      </c>
    </row>
    <row r="218" spans="1:25" ht="15" customHeight="1" x14ac:dyDescent="0.25">
      <c r="A218" s="20" t="s">
        <v>21</v>
      </c>
      <c r="B218" s="32" t="s">
        <v>17</v>
      </c>
      <c r="C218" s="11" t="s">
        <v>833</v>
      </c>
      <c r="D218" s="32" t="s">
        <v>683</v>
      </c>
      <c r="E218" s="67" t="s">
        <v>626</v>
      </c>
      <c r="F218" s="34" t="s">
        <v>684</v>
      </c>
      <c r="G218" s="34"/>
      <c r="H218" s="32" t="s">
        <v>626</v>
      </c>
      <c r="I218" s="32" t="s">
        <v>109</v>
      </c>
      <c r="J218" s="16">
        <v>3.1</v>
      </c>
      <c r="K218" s="16">
        <f>+J218*P218</f>
        <v>80879</v>
      </c>
      <c r="L218" s="12" t="s">
        <v>685</v>
      </c>
      <c r="M218" s="50" t="s">
        <v>110</v>
      </c>
      <c r="N218" s="35" t="s">
        <v>111</v>
      </c>
      <c r="O218" s="33" t="s">
        <v>686</v>
      </c>
      <c r="P218" s="38">
        <v>26090</v>
      </c>
      <c r="Q218" s="37">
        <v>5.3</v>
      </c>
      <c r="R218" s="19">
        <v>138277</v>
      </c>
      <c r="S218" s="1">
        <v>20208</v>
      </c>
      <c r="T218" s="1" t="s">
        <v>807</v>
      </c>
      <c r="U218" s="1" t="s">
        <v>808</v>
      </c>
      <c r="V218" s="5">
        <v>50353.7</v>
      </c>
      <c r="W218" s="5">
        <v>8056.5919999999996</v>
      </c>
      <c r="X218" s="5">
        <v>2014.1479999999999</v>
      </c>
      <c r="Y218" s="5">
        <v>56396.143999999993</v>
      </c>
    </row>
    <row r="219" spans="1:25" ht="15" customHeight="1" x14ac:dyDescent="0.25">
      <c r="A219" s="20" t="s">
        <v>21</v>
      </c>
      <c r="B219" s="11" t="s">
        <v>17</v>
      </c>
      <c r="C219" s="11" t="s">
        <v>834</v>
      </c>
      <c r="D219" s="11" t="s">
        <v>741</v>
      </c>
      <c r="E219" s="68" t="s">
        <v>626</v>
      </c>
      <c r="F219" s="43" t="s">
        <v>795</v>
      </c>
      <c r="G219" s="43"/>
      <c r="H219" s="11" t="s">
        <v>735</v>
      </c>
      <c r="I219" s="44" t="s">
        <v>30</v>
      </c>
      <c r="J219" s="16">
        <v>3.5</v>
      </c>
      <c r="K219" s="16">
        <f>+J219*P219</f>
        <v>86555</v>
      </c>
      <c r="L219" s="44"/>
      <c r="M219" s="51" t="s">
        <v>73</v>
      </c>
      <c r="N219" s="45" t="s">
        <v>74</v>
      </c>
      <c r="O219" s="44" t="s">
        <v>742</v>
      </c>
      <c r="P219" s="38">
        <v>24730</v>
      </c>
      <c r="Q219" s="42">
        <v>4.5</v>
      </c>
      <c r="R219" s="19">
        <v>111285</v>
      </c>
      <c r="S219" s="55" t="s">
        <v>129</v>
      </c>
    </row>
    <row r="220" spans="1:25" ht="15" customHeight="1" x14ac:dyDescent="0.25">
      <c r="A220" s="20" t="s">
        <v>21</v>
      </c>
      <c r="B220" s="32" t="s">
        <v>17</v>
      </c>
      <c r="C220" s="11" t="s">
        <v>837</v>
      </c>
      <c r="D220" s="32" t="s">
        <v>697</v>
      </c>
      <c r="E220" s="67" t="s">
        <v>626</v>
      </c>
      <c r="F220" s="34" t="s">
        <v>772</v>
      </c>
      <c r="G220" s="34"/>
      <c r="H220" s="32" t="s">
        <v>691</v>
      </c>
      <c r="I220" s="33" t="s">
        <v>30</v>
      </c>
      <c r="J220" s="16">
        <v>3.5</v>
      </c>
      <c r="K220" s="16">
        <f>+J220*P220</f>
        <v>73080</v>
      </c>
      <c r="L220" s="12" t="s">
        <v>698</v>
      </c>
      <c r="M220" s="50" t="s">
        <v>49</v>
      </c>
      <c r="N220" s="35" t="s">
        <v>50</v>
      </c>
      <c r="O220" s="33" t="s">
        <v>699</v>
      </c>
      <c r="P220" s="38">
        <v>20880</v>
      </c>
      <c r="Q220" s="37">
        <v>4.5999999999999996</v>
      </c>
      <c r="R220" s="40">
        <v>96048</v>
      </c>
      <c r="S220" s="55" t="s">
        <v>129</v>
      </c>
    </row>
    <row r="221" spans="1:25" ht="15" customHeight="1" x14ac:dyDescent="0.25">
      <c r="A221" s="20" t="s">
        <v>21</v>
      </c>
      <c r="B221" s="11" t="s">
        <v>17</v>
      </c>
      <c r="C221" s="11" t="s">
        <v>838</v>
      </c>
      <c r="D221" s="11" t="s">
        <v>747</v>
      </c>
      <c r="E221" s="68" t="s">
        <v>626</v>
      </c>
      <c r="F221" s="43" t="s">
        <v>780</v>
      </c>
      <c r="G221" s="43"/>
      <c r="H221" s="11" t="s">
        <v>735</v>
      </c>
      <c r="I221" s="44" t="s">
        <v>30</v>
      </c>
      <c r="J221" s="16">
        <v>1</v>
      </c>
      <c r="K221" s="16">
        <f>+J221*P221</f>
        <v>5760</v>
      </c>
      <c r="L221" s="44"/>
      <c r="M221" s="51" t="s">
        <v>335</v>
      </c>
      <c r="N221" s="45" t="s">
        <v>82</v>
      </c>
      <c r="O221" s="44" t="s">
        <v>748</v>
      </c>
      <c r="P221" s="38">
        <v>5760</v>
      </c>
      <c r="Q221" s="42">
        <v>5.37</v>
      </c>
      <c r="R221" s="19">
        <v>30931.200000000001</v>
      </c>
      <c r="V221" s="5">
        <v>7505</v>
      </c>
      <c r="W221" s="5">
        <v>1200.8</v>
      </c>
      <c r="X221" s="5">
        <v>300.2</v>
      </c>
      <c r="Y221" s="5">
        <v>8405.5999999999985</v>
      </c>
    </row>
    <row r="222" spans="1:25" ht="15" customHeight="1" x14ac:dyDescent="0.25">
      <c r="A222" s="20" t="s">
        <v>21</v>
      </c>
      <c r="B222" s="11" t="s">
        <v>17</v>
      </c>
      <c r="C222" s="11" t="s">
        <v>838</v>
      </c>
      <c r="D222" s="11" t="s">
        <v>749</v>
      </c>
      <c r="E222" s="68" t="s">
        <v>626</v>
      </c>
      <c r="F222" s="43" t="s">
        <v>781</v>
      </c>
      <c r="G222" s="43"/>
      <c r="H222" s="11" t="s">
        <v>735</v>
      </c>
      <c r="I222" s="44" t="s">
        <v>30</v>
      </c>
      <c r="J222" s="16">
        <v>3.5</v>
      </c>
      <c r="K222" s="16">
        <f>+J222*P222</f>
        <v>62510</v>
      </c>
      <c r="L222" s="12" t="s">
        <v>750</v>
      </c>
      <c r="M222" s="51" t="s">
        <v>335</v>
      </c>
      <c r="N222" s="45" t="s">
        <v>82</v>
      </c>
      <c r="O222" s="44" t="s">
        <v>751</v>
      </c>
      <c r="P222" s="38">
        <v>17860</v>
      </c>
      <c r="Q222" s="42">
        <v>5.37</v>
      </c>
      <c r="R222" s="19">
        <v>95908.2</v>
      </c>
      <c r="V222" s="5">
        <v>7505</v>
      </c>
      <c r="W222" s="5">
        <v>1200.8</v>
      </c>
      <c r="X222" s="5">
        <v>300.2</v>
      </c>
      <c r="Y222" s="5">
        <v>8405.5999999999985</v>
      </c>
    </row>
    <row r="223" spans="1:25" ht="15" customHeight="1" x14ac:dyDescent="0.25">
      <c r="A223" s="20" t="s">
        <v>21</v>
      </c>
      <c r="B223" s="11" t="s">
        <v>17</v>
      </c>
      <c r="C223" s="11" t="s">
        <v>838</v>
      </c>
      <c r="D223" s="11" t="s">
        <v>752</v>
      </c>
      <c r="E223" s="68" t="s">
        <v>626</v>
      </c>
      <c r="F223" s="43" t="s">
        <v>782</v>
      </c>
      <c r="G223" s="43"/>
      <c r="H223" s="11" t="s">
        <v>735</v>
      </c>
      <c r="I223" s="44" t="s">
        <v>30</v>
      </c>
      <c r="J223" s="16">
        <v>3.5</v>
      </c>
      <c r="K223" s="16">
        <f>+J223*P223</f>
        <v>62440</v>
      </c>
      <c r="L223" s="12" t="s">
        <v>753</v>
      </c>
      <c r="M223" s="51" t="s">
        <v>335</v>
      </c>
      <c r="N223" s="45" t="s">
        <v>82</v>
      </c>
      <c r="O223" s="44" t="s">
        <v>754</v>
      </c>
      <c r="P223" s="38">
        <v>17840</v>
      </c>
      <c r="Q223" s="42">
        <v>5.37</v>
      </c>
      <c r="R223" s="19">
        <v>95800.8</v>
      </c>
      <c r="V223" s="5">
        <v>7505</v>
      </c>
      <c r="W223" s="5">
        <v>1200.8</v>
      </c>
      <c r="X223" s="5">
        <v>300.2</v>
      </c>
      <c r="Y223" s="5">
        <v>8405.5999999999985</v>
      </c>
    </row>
    <row r="224" spans="1:25" ht="15" customHeight="1" x14ac:dyDescent="0.25">
      <c r="A224" s="20" t="s">
        <v>21</v>
      </c>
      <c r="B224" s="11" t="s">
        <v>17</v>
      </c>
      <c r="C224" s="11" t="s">
        <v>833</v>
      </c>
      <c r="D224" s="11" t="s">
        <v>757</v>
      </c>
      <c r="E224" s="68" t="s">
        <v>691</v>
      </c>
      <c r="F224" s="43" t="s">
        <v>788</v>
      </c>
      <c r="G224" s="43"/>
      <c r="H224" s="11" t="s">
        <v>735</v>
      </c>
      <c r="I224" s="11" t="s">
        <v>109</v>
      </c>
      <c r="J224" s="16">
        <v>3.1</v>
      </c>
      <c r="K224" s="16">
        <f>+J224*P224</f>
        <v>75392</v>
      </c>
      <c r="L224" s="12" t="s">
        <v>758</v>
      </c>
      <c r="M224" s="51" t="s">
        <v>110</v>
      </c>
      <c r="N224" s="45" t="s">
        <v>111</v>
      </c>
      <c r="O224" s="44" t="s">
        <v>759</v>
      </c>
      <c r="P224" s="38">
        <v>24320</v>
      </c>
      <c r="Q224" s="42">
        <v>5.3</v>
      </c>
      <c r="R224" s="19">
        <v>128896</v>
      </c>
      <c r="V224" s="5">
        <f>1930*P224/1000</f>
        <v>46937.599999999999</v>
      </c>
      <c r="W224" s="5">
        <f>+V224*0.16</f>
        <v>7510.0159999999996</v>
      </c>
      <c r="X224" s="5">
        <f>+V224*0.04</f>
        <v>1877.5039999999999</v>
      </c>
      <c r="Y224" s="5">
        <f>+V224+W224-X224</f>
        <v>52570.111999999994</v>
      </c>
    </row>
    <row r="225" spans="1:25" ht="15" customHeight="1" x14ac:dyDescent="0.25">
      <c r="A225" s="20" t="s">
        <v>21</v>
      </c>
      <c r="B225" s="11" t="s">
        <v>17</v>
      </c>
      <c r="C225" s="11" t="s">
        <v>833</v>
      </c>
      <c r="D225" s="11" t="s">
        <v>760</v>
      </c>
      <c r="E225" s="68" t="s">
        <v>691</v>
      </c>
      <c r="F225" s="43" t="s">
        <v>789</v>
      </c>
      <c r="G225" s="43"/>
      <c r="H225" s="11" t="s">
        <v>735</v>
      </c>
      <c r="I225" s="11" t="s">
        <v>109</v>
      </c>
      <c r="J225" s="16">
        <v>3.1</v>
      </c>
      <c r="K225" s="16">
        <f>+J225*P225</f>
        <v>80445</v>
      </c>
      <c r="L225" s="12"/>
      <c r="M225" s="51" t="s">
        <v>110</v>
      </c>
      <c r="N225" s="45" t="s">
        <v>111</v>
      </c>
      <c r="O225" s="44" t="s">
        <v>761</v>
      </c>
      <c r="P225" s="38">
        <v>25950</v>
      </c>
      <c r="Q225" s="42">
        <v>5.3</v>
      </c>
      <c r="R225" s="19">
        <v>137535</v>
      </c>
      <c r="V225" s="5">
        <f>1930*P225/1000</f>
        <v>50083.5</v>
      </c>
      <c r="W225" s="5">
        <f>+V225*0.16</f>
        <v>8013.3600000000006</v>
      </c>
      <c r="X225" s="5">
        <f>+V225*0.04</f>
        <v>2003.3400000000001</v>
      </c>
      <c r="Y225" s="5">
        <f>+V225+W225-X225</f>
        <v>56093.520000000004</v>
      </c>
    </row>
    <row r="226" spans="1:25" ht="15" customHeight="1" x14ac:dyDescent="0.25">
      <c r="A226" s="20" t="s">
        <v>21</v>
      </c>
      <c r="B226" s="11" t="s">
        <v>17</v>
      </c>
      <c r="C226" s="11" t="s">
        <v>833</v>
      </c>
      <c r="D226" s="11" t="s">
        <v>762</v>
      </c>
      <c r="E226" s="68" t="s">
        <v>691</v>
      </c>
      <c r="F226" s="43" t="s">
        <v>790</v>
      </c>
      <c r="G226" s="43"/>
      <c r="H226" s="11" t="s">
        <v>735</v>
      </c>
      <c r="I226" s="11" t="s">
        <v>109</v>
      </c>
      <c r="J226" s="16">
        <v>3.1</v>
      </c>
      <c r="K226" s="16">
        <f>+J226*P226</f>
        <v>79794</v>
      </c>
      <c r="L226" s="12" t="s">
        <v>763</v>
      </c>
      <c r="M226" s="51" t="s">
        <v>110</v>
      </c>
      <c r="N226" s="45" t="s">
        <v>111</v>
      </c>
      <c r="O226" s="44" t="s">
        <v>764</v>
      </c>
      <c r="P226" s="38">
        <v>25740</v>
      </c>
      <c r="Q226" s="42">
        <v>5.3</v>
      </c>
      <c r="R226" s="19">
        <v>136422</v>
      </c>
      <c r="V226" s="5">
        <f>1930*P226/1000</f>
        <v>49678.2</v>
      </c>
      <c r="W226" s="5">
        <f>+V226*0.16</f>
        <v>7948.5119999999997</v>
      </c>
      <c r="X226" s="5">
        <f>+V226*0.04</f>
        <v>1987.1279999999999</v>
      </c>
      <c r="Y226" s="5">
        <f>+V226+W226-X226</f>
        <v>55639.584000000003</v>
      </c>
    </row>
    <row r="227" spans="1:25" ht="15" customHeight="1" x14ac:dyDescent="0.25">
      <c r="A227" s="20" t="s">
        <v>21</v>
      </c>
      <c r="B227" s="11" t="s">
        <v>17</v>
      </c>
      <c r="C227" s="11" t="s">
        <v>834</v>
      </c>
      <c r="D227" s="11" t="s">
        <v>743</v>
      </c>
      <c r="E227" s="68" t="s">
        <v>691</v>
      </c>
      <c r="F227" s="43" t="s">
        <v>796</v>
      </c>
      <c r="G227" s="43"/>
      <c r="H227" s="11" t="s">
        <v>735</v>
      </c>
      <c r="I227" s="44" t="s">
        <v>30</v>
      </c>
      <c r="J227" s="16">
        <v>3.5</v>
      </c>
      <c r="K227" s="16">
        <f>+J227*P227</f>
        <v>87570</v>
      </c>
      <c r="L227" s="44"/>
      <c r="M227" s="51" t="s">
        <v>73</v>
      </c>
      <c r="N227" s="45" t="s">
        <v>74</v>
      </c>
      <c r="O227" s="44" t="s">
        <v>744</v>
      </c>
      <c r="P227" s="38">
        <v>25020</v>
      </c>
      <c r="Q227" s="42">
        <v>4.5</v>
      </c>
      <c r="R227" s="19">
        <v>112590</v>
      </c>
      <c r="S227" s="55" t="s">
        <v>129</v>
      </c>
    </row>
    <row r="228" spans="1:25" ht="15" customHeight="1" x14ac:dyDescent="0.25">
      <c r="A228" s="20" t="s">
        <v>21</v>
      </c>
      <c r="B228" s="11" t="s">
        <v>17</v>
      </c>
      <c r="C228" s="11" t="s">
        <v>834</v>
      </c>
      <c r="D228" s="11" t="s">
        <v>745</v>
      </c>
      <c r="E228" s="68" t="s">
        <v>691</v>
      </c>
      <c r="F228" s="43" t="s">
        <v>797</v>
      </c>
      <c r="G228" s="43"/>
      <c r="H228" s="11" t="s">
        <v>735</v>
      </c>
      <c r="I228" s="44" t="s">
        <v>30</v>
      </c>
      <c r="J228" s="16">
        <v>3.5</v>
      </c>
      <c r="K228" s="16">
        <f>+J228*P228</f>
        <v>85190</v>
      </c>
      <c r="L228" s="44"/>
      <c r="M228" s="51" t="s">
        <v>73</v>
      </c>
      <c r="N228" s="45" t="s">
        <v>74</v>
      </c>
      <c r="O228" s="44" t="s">
        <v>746</v>
      </c>
      <c r="P228" s="38">
        <v>24340</v>
      </c>
      <c r="Q228" s="42">
        <v>4.5</v>
      </c>
      <c r="R228" s="19">
        <v>109530</v>
      </c>
      <c r="S228" s="55" t="s">
        <v>129</v>
      </c>
    </row>
    <row r="229" spans="1:25" ht="15" customHeight="1" x14ac:dyDescent="0.25">
      <c r="A229" s="20" t="s">
        <v>21</v>
      </c>
      <c r="B229" s="32" t="s">
        <v>17</v>
      </c>
      <c r="C229" s="11" t="s">
        <v>835</v>
      </c>
      <c r="D229" s="32">
        <v>148728</v>
      </c>
      <c r="E229" s="67" t="s">
        <v>691</v>
      </c>
      <c r="F229" s="34" t="s">
        <v>794</v>
      </c>
      <c r="G229" s="34"/>
      <c r="H229" s="32" t="s">
        <v>691</v>
      </c>
      <c r="I229" s="32" t="s">
        <v>139</v>
      </c>
      <c r="J229" s="16">
        <v>3.5</v>
      </c>
      <c r="K229" s="16">
        <f>+J229*P229</f>
        <v>36155</v>
      </c>
      <c r="L229" s="41" t="s">
        <v>732</v>
      </c>
      <c r="M229" s="50" t="s">
        <v>141</v>
      </c>
      <c r="N229" s="35" t="s">
        <v>142</v>
      </c>
      <c r="O229" s="33" t="s">
        <v>733</v>
      </c>
      <c r="P229" s="38">
        <v>10330</v>
      </c>
      <c r="Q229" s="37">
        <v>3.88</v>
      </c>
      <c r="R229" s="19">
        <v>40080.400000000001</v>
      </c>
      <c r="S229" s="55" t="s">
        <v>129</v>
      </c>
    </row>
    <row r="230" spans="1:25" ht="15" customHeight="1" x14ac:dyDescent="0.25">
      <c r="A230" s="20" t="s">
        <v>21</v>
      </c>
      <c r="B230" s="11" t="s">
        <v>17</v>
      </c>
      <c r="C230" s="11" t="s">
        <v>836</v>
      </c>
      <c r="D230" s="11" t="s">
        <v>734</v>
      </c>
      <c r="E230" s="68" t="s">
        <v>691</v>
      </c>
      <c r="F230" s="43" t="s">
        <v>791</v>
      </c>
      <c r="G230" s="43"/>
      <c r="H230" s="11" t="s">
        <v>735</v>
      </c>
      <c r="I230" s="44" t="s">
        <v>30</v>
      </c>
      <c r="J230" s="16">
        <v>3.5</v>
      </c>
      <c r="K230" s="16">
        <f>+J230*P230</f>
        <v>79975</v>
      </c>
      <c r="L230" s="44"/>
      <c r="M230" s="51" t="s">
        <v>32</v>
      </c>
      <c r="N230" s="45" t="s">
        <v>33</v>
      </c>
      <c r="O230" s="44" t="s">
        <v>736</v>
      </c>
      <c r="P230" s="38">
        <v>22850</v>
      </c>
      <c r="Q230" s="42">
        <v>5.39</v>
      </c>
      <c r="R230" s="19">
        <v>123161.5</v>
      </c>
      <c r="V230" s="5">
        <f>660*P230/1000</f>
        <v>15081</v>
      </c>
      <c r="W230" s="5">
        <f>+V230*0.16</f>
        <v>2412.96</v>
      </c>
      <c r="X230" s="5">
        <f>+V230*0.04</f>
        <v>603.24</v>
      </c>
      <c r="Y230" s="5">
        <f>+V230+W230-X230</f>
        <v>16890.719999999998</v>
      </c>
    </row>
    <row r="231" spans="1:25" ht="15" customHeight="1" x14ac:dyDescent="0.25">
      <c r="A231" s="20" t="s">
        <v>21</v>
      </c>
      <c r="B231" s="32" t="s">
        <v>17</v>
      </c>
      <c r="C231" s="11" t="s">
        <v>837</v>
      </c>
      <c r="D231" s="32" t="s">
        <v>700</v>
      </c>
      <c r="E231" s="67" t="s">
        <v>691</v>
      </c>
      <c r="F231" s="34" t="s">
        <v>773</v>
      </c>
      <c r="G231" s="34"/>
      <c r="H231" s="32" t="s">
        <v>691</v>
      </c>
      <c r="I231" s="33" t="s">
        <v>30</v>
      </c>
      <c r="J231" s="16">
        <v>3.5</v>
      </c>
      <c r="K231" s="16">
        <f>+J231*P231</f>
        <v>69090</v>
      </c>
      <c r="L231" s="12" t="s">
        <v>701</v>
      </c>
      <c r="M231" s="50" t="s">
        <v>49</v>
      </c>
      <c r="N231" s="35" t="s">
        <v>50</v>
      </c>
      <c r="O231" s="33" t="s">
        <v>702</v>
      </c>
      <c r="P231" s="38">
        <v>19740</v>
      </c>
      <c r="Q231" s="37">
        <v>4.5999999999999996</v>
      </c>
      <c r="R231" s="40">
        <v>90804</v>
      </c>
      <c r="S231" s="55" t="s">
        <v>129</v>
      </c>
    </row>
    <row r="232" spans="1:25" ht="15" customHeight="1" x14ac:dyDescent="0.25">
      <c r="A232" s="20" t="s">
        <v>21</v>
      </c>
      <c r="B232" s="11" t="s">
        <v>17</v>
      </c>
      <c r="C232" s="11" t="s">
        <v>836</v>
      </c>
      <c r="D232" s="11" t="s">
        <v>737</v>
      </c>
      <c r="E232" s="68" t="s">
        <v>735</v>
      </c>
      <c r="F232" s="43" t="s">
        <v>792</v>
      </c>
      <c r="G232" s="43"/>
      <c r="H232" s="11" t="s">
        <v>735</v>
      </c>
      <c r="I232" s="44" t="s">
        <v>30</v>
      </c>
      <c r="J232" s="16">
        <v>3.5</v>
      </c>
      <c r="K232" s="16">
        <f>+J232*P232</f>
        <v>77525</v>
      </c>
      <c r="L232" s="44"/>
      <c r="M232" s="51" t="s">
        <v>32</v>
      </c>
      <c r="N232" s="45" t="s">
        <v>33</v>
      </c>
      <c r="O232" s="44" t="s">
        <v>738</v>
      </c>
      <c r="P232" s="38">
        <v>22150</v>
      </c>
      <c r="Q232" s="42">
        <v>5.39</v>
      </c>
      <c r="R232" s="19">
        <v>119388.5</v>
      </c>
      <c r="V232" s="5">
        <f>660*P232/1000</f>
        <v>14619</v>
      </c>
      <c r="W232" s="5">
        <f>+V232*0.16</f>
        <v>2339.04</v>
      </c>
      <c r="X232" s="5">
        <f>+V232*0.04</f>
        <v>584.76</v>
      </c>
      <c r="Y232" s="5">
        <f>+V232+W232-X232</f>
        <v>16373.28</v>
      </c>
    </row>
    <row r="233" spans="1:25" ht="15" customHeight="1" x14ac:dyDescent="0.25">
      <c r="A233" s="20" t="s">
        <v>21</v>
      </c>
      <c r="B233" s="11" t="s">
        <v>17</v>
      </c>
      <c r="C233" s="11" t="s">
        <v>836</v>
      </c>
      <c r="D233" s="11" t="s">
        <v>739</v>
      </c>
      <c r="E233" s="68" t="s">
        <v>735</v>
      </c>
      <c r="F233" s="43" t="s">
        <v>793</v>
      </c>
      <c r="G233" s="43"/>
      <c r="H233" s="11" t="s">
        <v>735</v>
      </c>
      <c r="I233" s="44" t="s">
        <v>30</v>
      </c>
      <c r="J233" s="16">
        <v>3.5</v>
      </c>
      <c r="K233" s="16">
        <f>+J233*P233</f>
        <v>81795</v>
      </c>
      <c r="L233" s="44"/>
      <c r="M233" s="51" t="s">
        <v>32</v>
      </c>
      <c r="N233" s="45" t="s">
        <v>33</v>
      </c>
      <c r="O233" s="44" t="s">
        <v>740</v>
      </c>
      <c r="P233" s="38">
        <v>23370</v>
      </c>
      <c r="Q233" s="42">
        <v>5.39</v>
      </c>
      <c r="R233" s="19">
        <v>125964.3</v>
      </c>
      <c r="V233" s="5">
        <f>660*P233/1000</f>
        <v>15424.2</v>
      </c>
      <c r="W233" s="5">
        <f>+V233*0.16</f>
        <v>2467.8720000000003</v>
      </c>
      <c r="X233" s="5">
        <f>+V233*0.04</f>
        <v>616.96800000000007</v>
      </c>
      <c r="Y233" s="5">
        <f>+V233+W233-X233</f>
        <v>17275.103999999999</v>
      </c>
    </row>
    <row r="234" spans="1:25" x14ac:dyDescent="0.25">
      <c r="K234" s="2">
        <f>SUM(K3:K233)</f>
        <v>15988200.699999997</v>
      </c>
      <c r="P234" s="4">
        <f>SUM(P3:P233)</f>
        <v>4715689</v>
      </c>
      <c r="R234" s="2">
        <f>SUM(R3:R233)</f>
        <v>22476178.859999996</v>
      </c>
    </row>
    <row r="235" spans="1:25" x14ac:dyDescent="0.25">
      <c r="Q235" s="4"/>
      <c r="R235" s="4"/>
    </row>
  </sheetData>
  <autoFilter ref="A2:Y234" xr:uid="{A1B286AE-5DB9-435C-991B-31E714DB9D6D}">
    <sortState xmlns:xlrd2="http://schemas.microsoft.com/office/spreadsheetml/2017/richdata2" ref="A3:Y234">
      <sortCondition ref="E2"/>
    </sortState>
  </autoFilter>
  <mergeCells count="1">
    <mergeCell ref="S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Martinez</dc:creator>
  <cp:lastModifiedBy>Jorge Victorio</cp:lastModifiedBy>
  <dcterms:created xsi:type="dcterms:W3CDTF">2025-09-03T18:42:23Z</dcterms:created>
  <dcterms:modified xsi:type="dcterms:W3CDTF">2025-09-03T19:36:39Z</dcterms:modified>
</cp:coreProperties>
</file>